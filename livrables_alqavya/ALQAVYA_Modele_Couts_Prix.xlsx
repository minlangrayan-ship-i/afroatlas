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sheetId="1" state="visible" r:id="rId3"/>
    <sheet name="Hypothèses" sheetId="2" state="visible" r:id="rId4"/>
    <sheet name="Masse salariale" sheetId="3" state="visible" r:id="rId5"/>
    <sheet name="Maison mère Yaoundé" sheetId="4" state="visible" r:id="rId6"/>
    <sheet name="Équipements importés" sheetId="5" state="visible" r:id="rId7"/>
    <sheet name="Flotte" sheetId="6" state="visible" r:id="rId8"/>
    <sheet name="Fonctionnement" sheetId="7" state="visible" r:id="rId9"/>
    <sheet name="Prix" sheetId="8" state="visible" r:id="rId10"/>
    <sheet name="Fiscalité" sheetId="9" state="visible" r:id="rId11"/>
    <sheet name="Hubs classiques" sheetId="10" state="visible" r:id="rId12"/>
    <sheet name="Sources" sheetId="11" state="visible" r:id="rId13"/>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Fourchette 1949 – 2299 € (mid). Boulanger – Sony A7 IV Nu (réf. 1172131)</t>
        </r>
      </text>
    </comment>
    <comment ref="D5" authorId="0">
      <text>
        <r>
          <rPr>
            <sz val="10"/>
            <rFont val="Arial"/>
            <family val="2"/>
          </rPr>
          <t xml:space="preserve">Fourchette 809 – 1049 € (mid). Qualescegliere.it – comparateur GTIN 4548736007970</t>
        </r>
      </text>
    </comment>
    <comment ref="D6" authorId="0">
      <text>
        <r>
          <rPr>
            <sz val="10"/>
            <rFont val="Arial"/>
            <family val="2"/>
          </rPr>
          <t xml:space="preserve">Fourchette 1523 – 2399 € (mid). PcComponentes.fr – Sony FE 24-70 mm f/2.8 GM II</t>
        </r>
      </text>
    </comment>
    <comment ref="D7" authorId="0">
      <text>
        <r>
          <rPr>
            <sz val="10"/>
            <rFont val="Arial"/>
            <family val="2"/>
          </rPr>
          <t xml:space="preserve">Fourchette 1598 – 2395 € (mid). Profoto – boutique officielle (page FR, pays Bulgarie) – Profoto B10X</t>
        </r>
      </text>
    </comment>
    <comment ref="D8" authorId="0">
      <text>
        <r>
          <rPr>
            <sz val="10"/>
            <rFont val="Arial"/>
            <family val="2"/>
          </rPr>
          <t xml:space="preserve">Fourchette 899.95 – 899.95 € (mid). Sony Center Riga (center.lv) – GODOX AD600Pro II</t>
        </r>
      </text>
    </comment>
    <comment ref="D9" authorId="0">
      <text>
        <r>
          <rPr>
            <sz val="10"/>
            <rFont val="Arial"/>
            <family val="2"/>
          </rPr>
          <t xml:space="preserve">Fourchette 1850 – 1850 € (mid). AVNED (Pays-Bas) – Aputure daglicht 5600K</t>
        </r>
      </text>
    </comment>
    <comment ref="D10" authorId="0">
      <text>
        <r>
          <rPr>
            <sz val="10"/>
            <rFont val="Arial"/>
            <family val="2"/>
          </rPr>
          <t xml:space="preserve">Fourchette 469 – 549 € (mid). KultureGeek comparateur – DJI RS 4</t>
        </r>
      </text>
    </comment>
    <comment ref="D11" authorId="0">
      <text>
        <r>
          <rPr>
            <sz val="10"/>
            <rFont val="Arial"/>
            <family val="2"/>
          </rPr>
          <t xml:space="preserve">Fourchette 2299 – 2999 € (mid). Consomac – Le prix du Mac Studio 2025 baisse de 200 €</t>
        </r>
      </text>
    </comment>
    <comment ref="D12" authorId="0">
      <text>
        <r>
          <rPr>
            <sz val="10"/>
            <rFont val="Arial"/>
            <family val="2"/>
          </rPr>
          <t xml:space="preserve">Fourchette 1199.99 – 1449 € (mid). TopAchat – BenQ SW272U</t>
        </r>
      </text>
    </comment>
    <comment ref="D13" authorId="0">
      <text>
        <r>
          <rPr>
            <sz val="10"/>
            <rFont val="Arial"/>
            <family val="2"/>
          </rPr>
          <t xml:space="preserve">Fourchette 1799 – 2399 € (mid). iPhon.fr – MacBook Pro M5 14 pouces (prix)</t>
        </r>
      </text>
    </comment>
    <comment ref="D14" authorId="0">
      <text>
        <r>
          <rPr>
            <sz val="10"/>
            <rFont val="Arial"/>
            <family val="2"/>
          </rPr>
          <t xml:space="preserve">Fourchette 649.24 – 766.31 € (mid). Mac4ever – Synology lance le NAS 4 baies DS923+</t>
        </r>
      </text>
    </comment>
    <comment ref="D15" authorId="0">
      <text>
        <r>
          <rPr>
            <sz val="10"/>
            <rFont val="Arial"/>
            <family val="2"/>
          </rPr>
          <t xml:space="preserve">Fourchette 429 – 499.95 € (mid). Comparateur-gamer.fr – Ubiquiti UniFi Dream Machine Pro (UDM-PRO)</t>
        </r>
      </text>
    </comment>
    <comment ref="D16" authorId="0">
      <text>
        <r>
          <rPr>
            <sz val="10"/>
            <rFont val="Arial"/>
            <family val="2"/>
          </rPr>
          <t xml:space="preserve">Fourchette 3891.32 – 4708.5 € (low). 123inkt.be – Epson SureColor SC-T5700D 36 inch</t>
        </r>
      </text>
    </comment>
    <comment ref="D17" authorId="0">
      <text>
        <r>
          <rPr>
            <sz val="10"/>
            <rFont val="Arial"/>
            <family val="2"/>
          </rPr>
          <t xml:space="preserve">Fourchette 92.8 – 214.8 € (mid). Rakuten France – recherche NVR</t>
        </r>
      </text>
    </comment>
    <comment ref="D18" authorId="0">
      <text>
        <r>
          <rPr>
            <sz val="10"/>
            <rFont val="Arial"/>
            <family val="2"/>
          </rPr>
          <t xml:space="preserve">Fourchette 100 – 900 € (mid). Companeo – Prix d'un contrôle d'accès en entreprise</t>
        </r>
      </text>
    </comment>
    <comment ref="D19" authorId="0">
      <text>
        <r>
          <rPr>
            <sz val="10"/>
            <rFont val="Arial"/>
            <family val="2"/>
          </rPr>
          <t xml:space="preserve">Fourchette 1169 – 1379 € (mid). Comparateur-gamer.fr – Steelcase Gesture (EAN 3760345221368)</t>
        </r>
      </text>
    </comment>
    <comment ref="D20" authorId="0">
      <text>
        <r>
          <rPr>
            <sz val="10"/>
            <rFont val="Arial"/>
            <family val="2"/>
          </rPr>
          <t xml:space="preserve">Fourchette 257.51 – 508.12 € (mid). HelloPro – Bureau droit MT International L160 x P80 cm</t>
        </r>
      </text>
    </comment>
    <comment ref="D21" authorId="0">
      <text>
        <r>
          <rPr>
            <sz val="10"/>
            <rFont val="Arial"/>
            <family val="2"/>
          </rPr>
          <t xml:space="preserve">Fourchette 1871.41 – 4135.28 € (mid). HelloPro – Banque d'accueil Z2 pour deux personnes avec accès bas – Officity</t>
        </r>
      </text>
    </comment>
    <comment ref="D22" authorId="0">
      <text>
        <r>
          <rPr>
            <sz val="10"/>
            <rFont val="Arial"/>
            <family val="2"/>
          </rPr>
          <t xml:space="preserve">Fourchette 3000 – 15000 € (mid). Hellopro : guide des prix des groupes électrogènes</t>
        </r>
      </text>
    </comment>
  </commentList>
</comments>
</file>

<file path=xl/sharedStrings.xml><?xml version="1.0" encoding="utf-8"?>
<sst xmlns="http://schemas.openxmlformats.org/spreadsheetml/2006/main" count="3422" uniqueCount="2141">
  <si>
    <t xml:space="preserve">ALQAVYA — Synthèse du modèle de coûts et de prix</t>
  </si>
  <si>
    <t xml:space="preserve">Indicateur</t>
  </si>
  <si>
    <t xml:space="preserve">FCFA</t>
  </si>
  <si>
    <t xml:space="preserve">EUR</t>
  </si>
  <si>
    <t xml:space="preserve">Investissement immobilier maison mère Yaoundé</t>
  </si>
  <si>
    <t xml:space="preserve">Équipements importés (coût rendu)</t>
  </si>
  <si>
    <t xml:space="preserve">Flotte</t>
  </si>
  <si>
    <t xml:space="preserve">INVESTISSEMENT TOTAL MAISON MÈRE</t>
  </si>
  <si>
    <t xml:space="preserve">Fonctionnement Cameroun / mois</t>
  </si>
  <si>
    <t xml:space="preserve">Amortissements / mois</t>
  </si>
  <si>
    <t xml:space="preserve">Siège France / mois</t>
  </si>
  <si>
    <t xml:space="preserve">Coût de revient d'une livraison</t>
  </si>
  <si>
    <t xml:space="preserve">Prix plancher TTC d'une livraison</t>
  </si>
  <si>
    <t xml:space="preserve">Coût d'une heure de studio</t>
  </si>
  <si>
    <t xml:space="preserve">Seuil filiale seule (commandes / mois)</t>
  </si>
  <si>
    <t xml:space="preserve">Seuil groupe après impôts (commandes / mois)</t>
  </si>
  <si>
    <t xml:space="preserve">Méthode : chaque prix d'entrée provient d'une source publiée (feuilles Hypothèses et Sources) ; surfaces, effectifs, volumes, durées et marge sont des hypothèses modifiables (cellules bleues). Postes sans source publique (assurances, entretien, caméras, parking, VRD, transport du conteneur, marketing) : provisions à chiffrer sur devis, non incluses.</t>
  </si>
  <si>
    <t xml:space="preserve">ALQAVYA — Hypothèses et données sourcées (cellules bleues = entrées modifiables)</t>
  </si>
  <si>
    <t xml:space="preserve">Légende : bleu = entrée ; noir = formule ; vert = lien vers une autre feuille ; jaune = levier clé. Type « Source » = chiffre publié (URL) ; « Hypothèse » = choix de dimensionnement ou de gestion, à ajuster.</t>
  </si>
  <si>
    <t xml:space="preserve">ID</t>
  </si>
  <si>
    <t xml:space="preserve">Libellé</t>
  </si>
  <si>
    <t xml:space="preserve">Valeur retenue</t>
  </si>
  <si>
    <t xml:space="preserve">Unité</t>
  </si>
  <si>
    <t xml:space="preserve">Bas</t>
  </si>
  <si>
    <t xml:space="preserve">Haut</t>
  </si>
  <si>
    <t xml:space="preserve">Type</t>
  </si>
  <si>
    <t xml:space="preserve">Règle</t>
  </si>
  <si>
    <t xml:space="preserve">Source</t>
  </si>
  <si>
    <t xml:space="preserve">URL</t>
  </si>
  <si>
    <t xml:space="preserve">Change</t>
  </si>
  <si>
    <t xml:space="preserve">fx</t>
  </si>
  <si>
    <t xml:space="preserve">Parité fixe EUR → FCFA</t>
  </si>
  <si>
    <t xml:space="preserve">FCFA / EUR</t>
  </si>
  <si>
    <t xml:space="preserve">Parité fixe du franc CFA (BEAC) (confiance : high)</t>
  </si>
  <si>
    <t xml:space="preserve">https://www.beac.int</t>
  </si>
  <si>
    <t xml:space="preserve">tva_fr</t>
  </si>
  <si>
    <t xml:space="preserve">TVA française (achats exportés hors UE facturés HT)</t>
  </si>
  <si>
    <t xml:space="preserve">%</t>
  </si>
  <si>
    <t xml:space="preserve">Taux normal de TVA en France (confiance : high)</t>
  </si>
  <si>
    <t xml:space="preserve">https://www.service-public.fr/professionnels-entreprises/vosdroits/F23567</t>
  </si>
  <si>
    <t xml:space="preserve">Fiscalité Cameroun</t>
  </si>
  <si>
    <t xml:space="preserve">is_cm</t>
  </si>
  <si>
    <t xml:space="preserve">IS Cameroun, CA ≤ 3 Md FCFA (CAC compris)</t>
  </si>
  <si>
    <t xml:space="preserve">milieu</t>
  </si>
  <si>
    <t xml:space="preserve">DGI Cameroun : Fiche technique A/s Impôt sur les Sociétés (IS) (confiance : high)</t>
  </si>
  <si>
    <t xml:space="preserve">https://www.impots.cm/sites/default/files/documents/ok%20FT%20IS%20ok.pdf</t>
  </si>
  <si>
    <t xml:space="preserve">min_perc</t>
  </si>
  <si>
    <t xml:space="preserve">Minimum de perception (acompte IS, dû même en perte)</t>
  </si>
  <si>
    <t xml:space="preserve">DGI Cameroun : Fiche technique IS ; LeFisk (commentaire de la fiche DGI) (confiance : medium)</t>
  </si>
  <si>
    <t xml:space="preserve">patente</t>
  </si>
  <si>
    <t xml:space="preserve">Patente (moyennes entreprises), % du CA, dès l'an 2 (principal seul)</t>
  </si>
  <si>
    <t xml:space="preserve">Deloitte Avocats : Cameroun, brèves juridiques et fiscales 1er trimestre 2017 (confiance : medium)</t>
  </si>
  <si>
    <t xml:space="preserve">https://blog.avocats.deloitte.fr/cameroun-breves-juridiques-fiscales-1er-trimestre-2017/</t>
  </si>
  <si>
    <t xml:space="preserve">tva_cm</t>
  </si>
  <si>
    <t xml:space="preserve">TVA Cameroun (17,5 % + CAC)</t>
  </si>
  <si>
    <t xml:space="preserve">DGI Cameroun : Fiche TVA (confiance : high)</t>
  </si>
  <si>
    <t xml:space="preserve">https://impots.cm/sites/default/files/documents/FICHE%20TVA.pdf</t>
  </si>
  <si>
    <t xml:space="preserve">conv_div</t>
  </si>
  <si>
    <t xml:space="preserve">Retenue dividendes vers la France (plafond conventionnel)</t>
  </si>
  <si>
    <t xml:space="preserve">Sénat : rapport n° 37 (1995-1996) sur l'avenant à la convention fiscale du 21 octobre 1976 (confiance : high)</t>
  </si>
  <si>
    <t xml:space="preserve">https://www.senat.fr/rap/l95-037/l95-0371.html</t>
  </si>
  <si>
    <t xml:space="preserve">ircm_pme</t>
  </si>
  <si>
    <t xml:space="preserve">IRCM dividendes PME (hors CAC ; éligibilité à confirmer)</t>
  </si>
  <si>
    <t xml:space="preserve">MINFI : Exposé des mesures fiscales, lancement du budget 2025 (confiance : medium)</t>
  </si>
  <si>
    <t xml:space="preserve">https://minfi.gov.cm/wp-content/uploads/2025/01/Expose_Meesures_Fiscales_lancement_du_budget_2025_Fr.pdf</t>
  </si>
  <si>
    <t xml:space="preserve">conv_at</t>
  </si>
  <si>
    <t xml:space="preserve">Retenue sur assistance technique (convention FR-CM)</t>
  </si>
  <si>
    <t xml:space="preserve">Assemblée nationale : rapport n° 35 (12e législature) sur l'avenant à la convention fiscale franco-camerounaise (confiance : high)</t>
  </si>
  <si>
    <t xml:space="preserve">https://www.assemblee-nationale.fr/12/pdf/rapports/r0035.pdf</t>
  </si>
  <si>
    <t xml:space="preserve">tsr</t>
  </si>
  <si>
    <t xml:space="preserve">TSR droit commun sur les autres prestations payées à l'étranger</t>
  </si>
  <si>
    <t xml:space="preserve">MINFI : Régime fiscal des marchés publics (confiance : high)</t>
  </si>
  <si>
    <t xml:space="preserve">https://minfi.gov.cm/marches-publics/</t>
  </si>
  <si>
    <t xml:space="preserve">plafond_siege</t>
  </si>
  <si>
    <t xml:space="preserve">Plafond de déductibilité des frais de siège (% du bénéfice)</t>
  </si>
  <si>
    <t xml:space="preserve">DGI Cameroun : Code Général des Impôts 2024 (version française) (confiance : high)</t>
  </si>
  <si>
    <t xml:space="preserve">https://www.impots.cm/sites/default/files/documents/CGI%202024%20version%20francaise.pdf</t>
  </si>
  <si>
    <t xml:space="preserve">dd_info</t>
  </si>
  <si>
    <t xml:space="preserve">Droit de douane, matériel informatique / photo (classement à confirmer)</t>
  </si>
  <si>
    <t xml:space="preserve">LeFisk : Tarif douane Cameroun, taux par produit et guide CEMAC (confiance : low)</t>
  </si>
  <si>
    <t xml:space="preserve">https://lefisk.cm/blog/tarif-douane-cameroun-cemac-guide-complet</t>
  </si>
  <si>
    <t xml:space="preserve">dd_meubles</t>
  </si>
  <si>
    <t xml:space="preserve">Droit de douane, mobilier</t>
  </si>
  <si>
    <t xml:space="preserve">Ecofin Agency : Cameroon adopts CEEAC-CEMAC common external tariff starting Jan. 1, 2026 (confiance : low)</t>
  </si>
  <si>
    <t xml:space="preserve">https://www.ecofinagency.com/news-services/1401-51923-cameroon-adopts-ceeac-cemac-common-external-tariff-starting-jan-1-2026</t>
  </si>
  <si>
    <t xml:space="preserve">tci</t>
  </si>
  <si>
    <t xml:space="preserve">Taxe communautaire d'intégration (TCI)</t>
  </si>
  <si>
    <t xml:space="preserve">LeFisk : Simulateur frais de douane Cameroun 2026 (confiance : medium)</t>
  </si>
  <si>
    <t xml:space="preserve">https://lefisk.cm/outils/sim-douane</t>
  </si>
  <si>
    <t xml:space="preserve">cci</t>
  </si>
  <si>
    <t xml:space="preserve">Contribution communautaire d'intégration (CCI)</t>
  </si>
  <si>
    <t xml:space="preserve">FMI : séminaire sur la mobilisation des recettes (présentation Ngakosso, 2011) (confiance : low)</t>
  </si>
  <si>
    <t xml:space="preserve">https://0-www-imf-org.library.svsu.edu/external/np/seminars/eng/2011/revenue/pdf/ngakosso.pdf</t>
  </si>
  <si>
    <t xml:space="preserve">ri</t>
  </si>
  <si>
    <t xml:space="preserve">Redevance informatique douanière</t>
  </si>
  <si>
    <t xml:space="preserve">EcoMatin : Budget 2023, les principales innovations douanières de la loi de finances (confiance : medium)</t>
  </si>
  <si>
    <t xml:space="preserve">https://ecomatin.net/budget-2023-les-principales-innovations-douanieres-de-la-loi-de-finances</t>
  </si>
  <si>
    <t xml:space="preserve">ohada</t>
  </si>
  <si>
    <t xml:space="preserve">Prélèvement OHADA</t>
  </si>
  <si>
    <t xml:space="preserve">GTAI – Zollbericht Kamerun : Zölle und Einfuhrabgaben (confiance : medium)</t>
  </si>
  <si>
    <t xml:space="preserve">https://www.gtai.de/de/trade/kamerun/zoll/zoelle-und-einfuhrabgaben-869296</t>
  </si>
  <si>
    <t xml:space="preserve">droits_terrain</t>
  </si>
  <si>
    <t xml:space="preserve">Droits d'enregistrement, terrain urbain non bâti</t>
  </si>
  <si>
    <t xml:space="preserve">Cameroon Business Connections : Fiscalité immobilière au Cameroun (confiance : medium)</t>
  </si>
  <si>
    <t xml:space="preserve">https://georgesbakang.over-blog.com/2022/06/fiscalite-immobiliere-au-cameroun.html</t>
  </si>
  <si>
    <t xml:space="preserve">conservation</t>
  </si>
  <si>
    <t xml:space="preserve">Conservation foncière (mutation du titre)</t>
  </si>
  <si>
    <t xml:space="preserve">allAfrica / Camer.be : Titre foncier au pays, le casse-tête des frais (confiance : medium)</t>
  </si>
  <si>
    <t xml:space="preserve">https://fr.allafrica.com/stories/202607010658.html</t>
  </si>
  <si>
    <t xml:space="preserve">permis</t>
  </si>
  <si>
    <t xml:space="preserve">Permis de bâtir (% du coût des travaux)</t>
  </si>
  <si>
    <t xml:space="preserve">eRegulations Yaoundé : procédure de permis de bâtir (confiance : low)</t>
  </si>
  <si>
    <t xml:space="preserve">https://yaounde.eregulations.org/procedure/172/132?l=fr</t>
  </si>
  <si>
    <t xml:space="preserve">taxe_fonciere</t>
  </si>
  <si>
    <t xml:space="preserve">Taxe foncière annuelle (% de la valeur)</t>
  </si>
  <si>
    <t xml:space="preserve">Camer.be : La connaissance de la taxe foncière au Cameroun (confiance : medium)</t>
  </si>
  <si>
    <t xml:space="preserve">https://www.camer.be/77824/33:30/cameroon-la-connaissance-de-la-taxe-fonciere-au-cameroun.html</t>
  </si>
  <si>
    <t xml:space="preserve">Émoluments du notaire (décret 95/038, par tranche)</t>
  </si>
  <si>
    <t xml:space="preserve">not_up1</t>
  </si>
  <si>
    <t xml:space="preserve">Tranche 1 : borne haute</t>
  </si>
  <si>
    <t xml:space="preserve">Hypothèse</t>
  </si>
  <si>
    <t xml:space="preserve">not_up2</t>
  </si>
  <si>
    <t xml:space="preserve">Tranche 2 : borne haute</t>
  </si>
  <si>
    <t xml:space="preserve">not_up3</t>
  </si>
  <si>
    <t xml:space="preserve">Tranche 3 : borne haute</t>
  </si>
  <si>
    <t xml:space="preserve">not_up4</t>
  </si>
  <si>
    <t xml:space="preserve">Tranche 4 : borne haute</t>
  </si>
  <si>
    <t xml:space="preserve">not_r1</t>
  </si>
  <si>
    <t xml:space="preserve">Tranche 1 : taux</t>
  </si>
  <si>
    <t xml:space="preserve">Camer.be : La connaissance des émoluments et débours des notaires à l'occasion des ventes de terrains au Cameroun (confiance : medium)</t>
  </si>
  <si>
    <t xml:space="preserve">https://www.camer.be/67267/33:30/point-du-droit</t>
  </si>
  <si>
    <t xml:space="preserve">not_r2</t>
  </si>
  <si>
    <t xml:space="preserve">Tranche 2 : taux</t>
  </si>
  <si>
    <t xml:space="preserve">not_r3</t>
  </si>
  <si>
    <t xml:space="preserve">Tranche 3 : taux</t>
  </si>
  <si>
    <t xml:space="preserve">not_r4</t>
  </si>
  <si>
    <t xml:space="preserve">Tranche 4 : taux</t>
  </si>
  <si>
    <t xml:space="preserve">not_r5</t>
  </si>
  <si>
    <t xml:space="preserve">Tranche 5 : taux</t>
  </si>
  <si>
    <t xml:space="preserve">Fiscalité France</t>
  </si>
  <si>
    <t xml:space="preserve">is_fr</t>
  </si>
  <si>
    <t xml:space="preserve">IS France, taux normal</t>
  </si>
  <si>
    <t xml:space="preserve">Loi de finances 2026 : 8 mesures à connaître (Extencia) (confiance : high)</t>
  </si>
  <si>
    <t xml:space="preserve">https://www.extencia.fr/loi-de-finances-2026-dirigeants</t>
  </si>
  <si>
    <t xml:space="preserve">qp_mf</t>
  </si>
  <si>
    <t xml:space="preserve">Quote-part imposable des dividendes (régime mère-fille)</t>
  </si>
  <si>
    <t xml:space="preserve">Conditions de l'exonération des dividendes versés aux sociétés mères (CMS Francis Lefebvre) (confiance : high)</t>
  </si>
  <si>
    <t xml:space="preserve">https://cms.law/en/fra/legal-updates/conditions-de-l-exoneration-des-dividendes-verses-aux-societes-meres</t>
  </si>
  <si>
    <t xml:space="preserve">fr_charges</t>
  </si>
  <si>
    <t xml:space="preserve">Charges patronales France (cadre, haut de fourchette, sans réduction RGDU)</t>
  </si>
  <si>
    <t xml:space="preserve">haut</t>
  </si>
  <si>
    <t xml:space="preserve">Coût salarial employeur et charges patronales 2026 (Simulateur Gratuit) (confiance : medium)</t>
  </si>
  <si>
    <t xml:space="preserve">https://simulateur-gratuit.fr/guide/cout-salarial-employeur-charges-patronales-2026/</t>
  </si>
  <si>
    <t xml:space="preserve">Social Cameroun</t>
  </si>
  <si>
    <t xml:space="preserve">pension_pf</t>
  </si>
  <si>
    <t xml:space="preserve">CNPS pension 4,2 % + prestations familiales 7 % (sous plafond)</t>
  </si>
  <si>
    <t xml:space="preserve">CNPS, décret 2016/072 (confiance : high)</t>
  </si>
  <si>
    <t xml:space="preserve">https://www.cleiss.fr/docs/cotisations/cameroun.html</t>
  </si>
  <si>
    <t xml:space="preserve">at_rate</t>
  </si>
  <si>
    <t xml:space="preserve">Accidents du travail, groupe B (1,75 à 5 %), non plafonné</t>
  </si>
  <si>
    <t xml:space="preserve">cnps_ceil</t>
  </si>
  <si>
    <t xml:space="preserve">Plafond mensuel CNPS</t>
  </si>
  <si>
    <t xml:space="preserve">CNPS, plafond de 750 000 FCFA (confiance : high)</t>
  </si>
  <si>
    <t xml:space="preserve">other_payroll</t>
  </si>
  <si>
    <t xml:space="preserve">Crédit foncier 1,5 % + FNE 1 % (sur tout le brut)</t>
  </si>
  <si>
    <t xml:space="preserve">MINFI / PwC : CFC patronal 1,5 %, FNE 1 % (confiance : high)</t>
  </si>
  <si>
    <t xml:space="preserve">https://minfi.gov.cm/les-autres-retenues-sur-les-salaires/</t>
  </si>
  <si>
    <t xml:space="preserve">treizieme</t>
  </si>
  <si>
    <t xml:space="preserve">Mois payés par an (13e mois, convention du commerce)</t>
  </si>
  <si>
    <t xml:space="preserve">mois</t>
  </si>
  <si>
    <t xml:space="preserve">Convention Collective Nationale du Commerce (texte PDF) (confiance : low)</t>
  </si>
  <si>
    <t xml:space="preserve">https://www.fotouni.net/codefo/pdf/Conv-Collective-Nat-du-Commerce.pdf</t>
  </si>
  <si>
    <t xml:space="preserve">transport_day</t>
  </si>
  <si>
    <t xml:space="preserve">Indemnité de transport par jour travaillé</t>
  </si>
  <si>
    <t xml:space="preserve">FCFA/jour</t>
  </si>
  <si>
    <t xml:space="preserve">CAMEROUN : La convention collective nationale du commerce révisée – Droit Médias Finance (confiance : medium)</t>
  </si>
  <si>
    <t xml:space="preserve">https://droitmediasfinance.com/index.php/actualites/droit-ohada-affaires/701-cameroun-la-convention-collective-nationale-du-commerce-revisee</t>
  </si>
  <si>
    <t xml:space="preserve">days_office</t>
  </si>
  <si>
    <t xml:space="preserve">Jours travaillés, équipes de bureau</t>
  </si>
  <si>
    <t xml:space="preserve">jours</t>
  </si>
  <si>
    <t xml:space="preserve">days_field</t>
  </si>
  <si>
    <t xml:space="preserve">Jours travaillés, hub et livraison</t>
  </si>
  <si>
    <t xml:space="preserve">garde_price</t>
  </si>
  <si>
    <t xml:space="preserve">Gardiennage : prix facturé par agent et par mois</t>
  </si>
  <si>
    <t xml:space="preserve">FCFA/mois</t>
  </si>
  <si>
    <t xml:space="preserve">Gardiennage – Mercuriale de prix 2020 – Magazine Comptable-Matières (lacooperative.cm) (confiance : low)</t>
  </si>
  <si>
    <t xml:space="preserve">http://www.lacooperative.cm/pages/outils-de-gestion/mercuriale-de-prix-2020/gardiennage.html</t>
  </si>
  <si>
    <t xml:space="preserve">garde_fte</t>
  </si>
  <si>
    <t xml:space="preserve">Équivalents temps plein pour un poste 24h/24</t>
  </si>
  <si>
    <t xml:space="preserve">ETP</t>
  </si>
  <si>
    <t xml:space="preserve">Salaires bruts mensuels Cameroun</t>
  </si>
  <si>
    <t xml:space="preserve">sal_dg</t>
  </si>
  <si>
    <t xml:space="preserve">Salaire brut : dg</t>
  </si>
  <si>
    <t xml:space="preserve">bas</t>
  </si>
  <si>
    <t xml:space="preserve">Salaire Moyen Cameroun 2026 : par secteur, métier et expérience – Infospratiques (confiance : low)</t>
  </si>
  <si>
    <t xml:space="preserve">https://infospratiques.cm/salaire-moyen-cameroun/</t>
  </si>
  <si>
    <t xml:space="preserve">sal_hub_manager</t>
  </si>
  <si>
    <t xml:space="preserve">Salaire brut : hub_manager</t>
  </si>
  <si>
    <t xml:space="preserve">Formation Supply Chain et Logistique internationale au Cameroun : salaires, débouchés – PIDERC (confiance : low)</t>
  </si>
  <si>
    <t xml:space="preserve">https://piderc.org/formation-supply-chain-cameroun-salaires-debouches-et-classement-2025/</t>
  </si>
  <si>
    <t xml:space="preserve">sal_agent_hub</t>
  </si>
  <si>
    <t xml:space="preserve">Salaire brut : agent_hub</t>
  </si>
  <si>
    <t xml:space="preserve">Salaires à Douala en 2026 : grille complète par secteur et métier – OpenShores (confiance : medium)</t>
  </si>
  <si>
    <t xml:space="preserve">https://www.openshores.co/blog/cameroun/douala/salaires-a-douala</t>
  </si>
  <si>
    <t xml:space="preserve">sal_magasinier</t>
  </si>
  <si>
    <t xml:space="preserve">Salaire brut : magasinier</t>
  </si>
  <si>
    <t xml:space="preserve">Salaires moyens au Cameroun – Douane, transit, logistique, transport – PIDERC (confiance : low)</t>
  </si>
  <si>
    <t xml:space="preserve">https://piderc.org/salaires-moyens-au-cameroun-douane-transit-declarant-en-douane-logistique-transport/</t>
  </si>
  <si>
    <t xml:space="preserve">sal_livreur</t>
  </si>
  <si>
    <t xml:space="preserve">Salaire brut : livreur</t>
  </si>
  <si>
    <t xml:space="preserve">Salaires moyens au Cameroun par secteur en 2026 – Job Cameroun (confiance : medium)</t>
  </si>
  <si>
    <t xml:space="preserve">https://job-cameroun.com/blog/salaires-moyens-cameroun-2026</t>
  </si>
  <si>
    <t xml:space="preserve">sal_chauffeur</t>
  </si>
  <si>
    <t xml:space="preserve">Salaire brut : chauffeur</t>
  </si>
  <si>
    <t xml:space="preserve">sal_receptionniste</t>
  </si>
  <si>
    <t xml:space="preserve">Salaire brut : receptionniste</t>
  </si>
  <si>
    <t xml:space="preserve">Bilingual Receptionist (Réceptionniste bilingue) – Yaoundé – 80 000 F CFA par mois – EmploisCameroun (confiance : medium)</t>
  </si>
  <si>
    <t xml:space="preserve">https://emploiscameroun.com/offre/50356-bilingual-receptionist-receptionniste-bilingue-yaounde-80-000-f-cfa-par-mois/</t>
  </si>
  <si>
    <t xml:space="preserve">sal_cm</t>
  </si>
  <si>
    <t xml:space="preserve">Salaire brut : cm</t>
  </si>
  <si>
    <t xml:space="preserve">Community manager au Cameroun : compétences, formation, IA – Econuma (confiance : medium)</t>
  </si>
  <si>
    <t xml:space="preserve">https://econuma.com/go-digital/community-manager-cameroun-competences-formation-ia-1778596620</t>
  </si>
  <si>
    <t xml:space="preserve">sal_photographe</t>
  </si>
  <si>
    <t xml:space="preserve">Salaire brut : photographe (proxy : graphiste)</t>
  </si>
  <si>
    <t xml:space="preserve">Salaire : Graphiste (mai 2026) – Cameroun – Glassdoor (confiance : low)</t>
  </si>
  <si>
    <t xml:space="preserve">https://www.glassdoor.fr/Salaires/cameroon-graphiste-salaire-SRCH_IL.0,8_IN52_KO9,18.htm</t>
  </si>
  <si>
    <t xml:space="preserve">sal_videaste</t>
  </si>
  <si>
    <t xml:space="preserve">Salaire brut : videaste</t>
  </si>
  <si>
    <t xml:space="preserve">Reconversion professionnelle : 15 métiers porteurs sans diplôme en 2026 – CameroonDesks (confiance : low)</t>
  </si>
  <si>
    <t xml:space="preserve">https://www.cameroondesks.com/2025/12/reconversion-professionnelle-15-metiers-sans-diplome-sty.html</t>
  </si>
  <si>
    <t xml:space="preserve">sal_graphiste</t>
  </si>
  <si>
    <t xml:space="preserve">Salaire brut : graphiste</t>
  </si>
  <si>
    <t xml:space="preserve">sal_dev</t>
  </si>
  <si>
    <t xml:space="preserve">Salaire brut : dev</t>
  </si>
  <si>
    <t xml:space="preserve">Salaires au Cameroun en 2026 : la grille de référence par métier – Pem's Recruitment (confiance : medium)</t>
  </si>
  <si>
    <t xml:space="preserve">https://pems-recruitment.com/blog/salaires-cameroun-2026-grille-reference</t>
  </si>
  <si>
    <t xml:space="preserve">sal_analyste</t>
  </si>
  <si>
    <t xml:space="preserve">Salaire brut : analyste</t>
  </si>
  <si>
    <t xml:space="preserve">Cameroon Salary Guide 2026 (by Sector, in FCFA) – SangoServices (confiance : medium)</t>
  </si>
  <si>
    <t xml:space="preserve">https://sangoservices.com/en/blog/salaires-cameroun-par-secteur</t>
  </si>
  <si>
    <t xml:space="preserve">sal_comptable</t>
  </si>
  <si>
    <t xml:space="preserve">Salaire brut : comptable</t>
  </si>
  <si>
    <t xml:space="preserve">Salaire Moyen Cameroun 2026 : par secteur, métier et expérience – Infospratiques (confiance : medium)</t>
  </si>
  <si>
    <t xml:space="preserve">sal_rh_formation</t>
  </si>
  <si>
    <t xml:space="preserve">Salaire brut : rh_formation (proxy : salaire moyen formel)</t>
  </si>
  <si>
    <t xml:space="preserve">Salaires à Yaoundé en 2026 : rémunérations dans la capitale politique – OpenShores (confiance : low)</t>
  </si>
  <si>
    <t xml:space="preserve">https://www.openshores.co/blog/cameroun/yaounde/salaires-a-yaounde</t>
  </si>
  <si>
    <t xml:space="preserve">sal_entretien</t>
  </si>
  <si>
    <t xml:space="preserve">Salaire brut : entretien</t>
  </si>
  <si>
    <t xml:space="preserve">Revalorisation du Smig : Dion Ngute contente toutes les parties… – Investir au Cameroun (confiance : high)</t>
  </si>
  <si>
    <t xml:space="preserve">https://www.investiraucameroun.com/gestion-publique/2203-19161-revalorisation-du-smig-dion-ngute-contente-toutes-les-parties-malgre-des-accusations-de-violation-du-code-du-travail</t>
  </si>
  <si>
    <t xml:space="preserve">sal_commercial</t>
  </si>
  <si>
    <t xml:space="preserve">Salaire brut : commercial (proxy : commerce et distribution)</t>
  </si>
  <si>
    <t xml:space="preserve">Salaire moyen au Cameroun 2026 : par secteur, métier et expérience (infospratiques.cm) (confiance : low)</t>
  </si>
  <si>
    <t xml:space="preserve">https://infospratiques.cm/?p=347</t>
  </si>
  <si>
    <t xml:space="preserve">sal_sav</t>
  </si>
  <si>
    <t xml:space="preserve">Salaire brut : sav (proxy : réceptionniste)</t>
  </si>
  <si>
    <t xml:space="preserve">Siège France</t>
  </si>
  <si>
    <t xml:space="preserve">smic</t>
  </si>
  <si>
    <t xml:space="preserve">SMIC brut mensuel (juin 2026)</t>
  </si>
  <si>
    <t xml:space="preserve">€/mois</t>
  </si>
  <si>
    <t xml:space="preserve">Le SMIC revalorisé le 1er juin 2026 (info.gouv.fr) ; Revalorisation du Smic au 1er juin 2026 (Centre Inffo) (confiance : high)</t>
  </si>
  <si>
    <t xml:space="preserve">https://www.info.gouv.fr/public/index.php/actualite/le-smic-revalorise-le-1er-juin-2026</t>
  </si>
  <si>
    <t xml:space="preserve">fr_sal_cdg</t>
  </si>
  <si>
    <t xml:space="preserve">Contrôleur de gestion / finance groupe (brut annuel)</t>
  </si>
  <si>
    <t xml:space="preserve">€/an</t>
  </si>
  <si>
    <t xml:space="preserve">Salaire &gt; Contrôleur de gestion (blog-rh.com, citant Apec, Jobted, Le Figaro Emploi) (confiance : medium)</t>
  </si>
  <si>
    <t xml:space="preserve">https://www.blog-rh.com/salaire-controleur-de-gestion/</t>
  </si>
  <si>
    <t xml:space="preserve">fr_sal_achats</t>
  </si>
  <si>
    <t xml:space="preserve">Coordinateur achats &amp; import (brut annuel)</t>
  </si>
  <si>
    <t xml:space="preserve">Gestionnaire import export – salaire (Robert Half France) (confiance : medium)</t>
  </si>
  <si>
    <t xml:space="preserve">https://www.roberthalf.com/fr/fr/details-emploi/gestionnaire-import-export</t>
  </si>
  <si>
    <t xml:space="preserve">fr_loyer</t>
  </si>
  <si>
    <t xml:space="preserve">Loyer de bureaux (ex. Lyon), €/m²/an HT HC</t>
  </si>
  <si>
    <t xml:space="preserve">€/m²/an</t>
  </si>
  <si>
    <t xml:space="preserve">Analyses du marché tertiaire lyonnais au S1 2025 (JLL / CECIM) (confiance : high)</t>
  </si>
  <si>
    <t xml:space="preserve">https://www.jll.com/fr-fr/newsroom/lyon-chiffres-cecim-s1-2025</t>
  </si>
  <si>
    <t xml:space="preserve">fr_m2</t>
  </si>
  <si>
    <t xml:space="preserve">Surface du siège France</t>
  </si>
  <si>
    <t xml:space="preserve">m²</t>
  </si>
  <si>
    <t xml:space="preserve">fr_compta</t>
  </si>
  <si>
    <t xml:space="preserve">Expert-comptable (annuel)</t>
  </si>
  <si>
    <t xml:space="preserve">Quel est le prix d'un expert-comptable ? (Keobiz) ; Grille tarifaire expert-comptable 2026 (Hayot Expertise) (confiance : medium)</t>
  </si>
  <si>
    <t xml:space="preserve">https://www.keobiz.fr/fiches-pratiques/creation-dentreprise/quel-est-le-prix-dun-expert-comptable/</t>
  </si>
  <si>
    <t xml:space="preserve">fr_rcpro</t>
  </si>
  <si>
    <t xml:space="preserve">Assurance RC Pro (annuelle)</t>
  </si>
  <si>
    <t xml:space="preserve">RC pro informatique : tarifs et garanties (Philtr) (confiance : medium)</t>
  </si>
  <si>
    <t xml:space="preserve">https://philtr.fr/responsabilite-civile-professionnelle/metier/informatique</t>
  </si>
  <si>
    <t xml:space="preserve">fr_banque</t>
  </si>
  <si>
    <t xml:space="preserve">Compte bancaire professionnel (mensuel)</t>
  </si>
  <si>
    <t xml:space="preserve">Qonto vs Shine vs banque traditionnelle : quel compte pro choisir en 2026 ? (Hayot Expertise) (confiance : medium)</t>
  </si>
  <si>
    <t xml:space="preserve">https://hayot-expertise.fr/blog/qonto-vs-shine-vs-banque-traditionnelle-compte-pro</t>
  </si>
  <si>
    <t xml:space="preserve">Immobilier et construction</t>
  </si>
  <si>
    <t xml:space="preserve">c_std</t>
  </si>
  <si>
    <t xml:space="preserve">Construction, finition standard</t>
  </si>
  <si>
    <t xml:space="preserve">FCFA/m²</t>
  </si>
  <si>
    <t xml:space="preserve">Infospratiques.cm : Coût de construction d'une maison au Cameroun (confiance : medium)</t>
  </si>
  <si>
    <t xml:space="preserve">https://infospratiques.cm/cout-construction-maison-cameroun/</t>
  </si>
  <si>
    <t xml:space="preserve">c_haut</t>
  </si>
  <si>
    <t xml:space="preserve">Construction, haut standing (matériaux importés)</t>
  </si>
  <si>
    <t xml:space="preserve">circ</t>
  </si>
  <si>
    <t xml:space="preserve">Circulations et locaux techniques</t>
  </si>
  <si>
    <t xml:space="preserve">land_yde</t>
  </si>
  <si>
    <t xml:space="preserve">Terrain, quartiers intermédiaires (Mvan, Nkolbisson)</t>
  </si>
  <si>
    <t xml:space="preserve">Infospratiques.cm : Prix du terrain au Cameroun, Douala, Yaoundé et régions (confiance : medium)</t>
  </si>
  <si>
    <t xml:space="preserve">https://infospratiques.cm/?p=157</t>
  </si>
  <si>
    <t xml:space="preserve">land_m2_yde</t>
  </si>
  <si>
    <t xml:space="preserve">Surface du terrain, maison mère Yaoundé</t>
  </si>
  <si>
    <t xml:space="preserve">cloture_ttc</t>
  </si>
  <si>
    <t xml:space="preserve">Mur de clôture : plafond de marché public TTC</t>
  </si>
  <si>
    <t xml:space="preserve">FCFA/ml</t>
  </si>
  <si>
    <t xml:space="preserve">ARMP : Avis d'appel d'offres 004 AONO, commune de Gazawa (construction d'un mur de clôture) (confiance : low)</t>
  </si>
  <si>
    <t xml:space="preserve">https://pridesoft.armp.cm/_lib/file/doc/0903/2024/01/31/C_GAZAWA/004%20AONO%20GAZ(1).pdf</t>
  </si>
  <si>
    <t xml:space="preserve">land_dla</t>
  </si>
  <si>
    <t xml:space="preserve">Terrain, Bonabéri (Douala), aussi retenu pour les villes moyennes</t>
  </si>
  <si>
    <t xml:space="preserve">Expat.com : Terrain 1000 m² à vendre à Bonaberi Douala (confiance : medium)</t>
  </si>
  <si>
    <t xml:space="preserve">https://www.expat.com/fr/immobilier/afrique/cameroun/douala/44-terrains-a-vendre/775340-terrain-1000m2-a-vendre-a-bonaberi-douala.html</t>
  </si>
  <si>
    <t xml:space="preserve">Import, flotte, énergie</t>
  </si>
  <si>
    <t xml:space="preserve">freight_eur</t>
  </si>
  <si>
    <t xml:space="preserve">Fret Le Havre → Kribi, conteneur 40' (2022, à actualiser)</t>
  </si>
  <si>
    <t xml:space="preserve">€</t>
  </si>
  <si>
    <t xml:space="preserve">AJOT — CMA CGM FAK rates from North Europe to West Africa (confiance : low)</t>
  </si>
  <si>
    <t xml:space="preserve">https://www.ajot.com/news/cma-cgm-fak-rates-from-north-europe-west-mediterranean-atlantic-adriatic-baltic-scandinavia-to-west-africa</t>
  </si>
  <si>
    <t xml:space="preserve">pss_eur</t>
  </si>
  <si>
    <t xml:space="preserve">Surcharge haute saison par EVP (40' = 2 EVP)</t>
  </si>
  <si>
    <t xml:space="preserve">€/EVP</t>
  </si>
  <si>
    <t xml:space="preserve">Container News — CMA CGM announces PSS on Douala (confiance : medium)</t>
  </si>
  <si>
    <t xml:space="preserve">https://container-news.com/cma-cgm-announces-pss-on-douala-shipments/</t>
  </si>
  <si>
    <t xml:space="preserve">transit</t>
  </si>
  <si>
    <t xml:space="preserve">Commissionnaire en douane, frais de dossier</t>
  </si>
  <si>
    <t xml:space="preserve">Memoireonline – La facturation chez les commissionnaires en douane agréés (cas EOLIS Cameroun) (confiance : low)</t>
  </si>
  <si>
    <t xml:space="preserve">https://www.memoireonline.com/04/12/5722/m_La-facturation-chez-les-commissionnaires-en-douane-agreescas-dEOLIS-Cameroun4.html</t>
  </si>
  <si>
    <t xml:space="preserve">moto</t>
  </si>
  <si>
    <t xml:space="preserve">Moto de livraison 125-150 cm³ avec papiers</t>
  </si>
  <si>
    <t xml:space="preserve">CoinAfrique (Nanfan 150, 2024 : 450 000-550 000) et financement Advans/Bee (≈ 639 000 avec papiers) (confiance : low)</t>
  </si>
  <si>
    <t xml:space="preserve">https://cm.coinafrique.com/categorie/motos-et-scooters/nanfan</t>
  </si>
  <si>
    <t xml:space="preserve">van</t>
  </si>
  <si>
    <t xml:space="preserve">Utilitaire Toyota Hiace d'occasion (annonce Douala)</t>
  </si>
  <si>
    <t xml:space="preserve">Voitures Toyota hiace zoom 2011 neufs et occasions au Cameroun – CoinAfrique Cameroun – 5057538 (confiance : low)</t>
  </si>
  <si>
    <t xml:space="preserve">https://cm.coinafrique.com/annonce/voitures/toyota-hiace-zoom-2011-5057538</t>
  </si>
  <si>
    <t xml:space="preserve">car</t>
  </si>
  <si>
    <t xml:space="preserve">Véhicule de service Toyota Hilux 2020</t>
  </si>
  <si>
    <t xml:space="preserve">Afrotools — 2020 Toyota Hilux, Cameroon planning snapshot (confiance : medium)</t>
  </si>
  <si>
    <t xml:space="preserve">https://afrotools.com/cars/cameroon/toyota/hilux/2020/</t>
  </si>
  <si>
    <t xml:space="preserve">n_moto</t>
  </si>
  <si>
    <t xml:space="preserve">Nombre de motos</t>
  </si>
  <si>
    <t xml:space="preserve">unités</t>
  </si>
  <si>
    <t xml:space="preserve">n_van</t>
  </si>
  <si>
    <t xml:space="preserve">Nombre d'utilitaires</t>
  </si>
  <si>
    <t xml:space="preserve">n_car</t>
  </si>
  <si>
    <t xml:space="preserve">Nombre de véhicules de service</t>
  </si>
  <si>
    <t xml:space="preserve">fuel</t>
  </si>
  <si>
    <t xml:space="preserve">Super, prix pompe</t>
  </si>
  <si>
    <t xml:space="preserve">FCFA/L</t>
  </si>
  <si>
    <t xml:space="preserve">Prix du Carburant au Cameroun 2026 : Tarifs (infospratiques.cm) (confiance : high)</t>
  </si>
  <si>
    <t xml:space="preserve">https://infospratiques.cm/prix-carburant-cameroun/</t>
  </si>
  <si>
    <t xml:space="preserve">gasoil</t>
  </si>
  <si>
    <t xml:space="preserve">Gasoil, prix pompe</t>
  </si>
  <si>
    <t xml:space="preserve">conso_moto</t>
  </si>
  <si>
    <t xml:space="preserve">Consommation réelle moto 125 cm³ (haut, usage urbain chargé)</t>
  </si>
  <si>
    <t xml:space="preserve">L/100 km</t>
  </si>
  <si>
    <t xml:space="preserve">Spritmonitor – Honda CB 125 F (relevés utilisateur) (confiance : medium)</t>
  </si>
  <si>
    <t xml:space="preserve">https://www.spritmonitor.de/fr/detail/1343341.html?cdetail=1</t>
  </si>
  <si>
    <t xml:space="preserve">deliv_day</t>
  </si>
  <si>
    <t xml:space="preserve">Livraisons par coursier et par jour (bas de 12-15)</t>
  </si>
  <si>
    <t xml:space="preserve">livraisons</t>
  </si>
  <si>
    <t xml:space="preserve">Cameroon Tribune : coursier à la course, 12 à 15 livraisons/jour (confiance : low)</t>
  </si>
  <si>
    <t xml:space="preserve">https://cameroon-tribune.cm/article.html/79064/fr.html/livraison-colis-les-motos-taxis-facilitent-la-tache</t>
  </si>
  <si>
    <t xml:space="preserve">km_deliv</t>
  </si>
  <si>
    <t xml:space="preserve">Kilomètres par livraison (aller-retour moyen)</t>
  </si>
  <si>
    <t xml:space="preserve">km</t>
  </si>
  <si>
    <t xml:space="preserve">van_km</t>
  </si>
  <si>
    <t xml:space="preserve">Kilométrage mensuel de l'utilitaire</t>
  </si>
  <si>
    <t xml:space="preserve">van_conso</t>
  </si>
  <si>
    <t xml:space="preserve">Consommation de l'utilitaire</t>
  </si>
  <si>
    <t xml:space="preserve">eneo</t>
  </si>
  <si>
    <t xml:space="preserve">Électricité ENEO BT non résidentielle (tranche haute)</t>
  </si>
  <si>
    <t xml:space="preserve">FCFA/kWh</t>
  </si>
  <si>
    <t xml:space="preserve">Cameroon ENEO Tariffs website (ESMAP RISE, capture de la page tarifs ENEO) (confiance : medium)</t>
  </si>
  <si>
    <t xml:space="preserve">https://rise.esmap.org/data/files/library/cameroon/Electricity Access/Cameroon_ENEO Tariffs website.pdf</t>
  </si>
  <si>
    <t xml:space="preserve">kwh</t>
  </si>
  <si>
    <t xml:space="preserve">Consommation électrique mensuelle de la maison mère</t>
  </si>
  <si>
    <t xml:space="preserve">kWh</t>
  </si>
  <si>
    <t xml:space="preserve">internet</t>
  </si>
  <si>
    <t xml:space="preserve">Accès internet professionnel</t>
  </si>
  <si>
    <t xml:space="preserve">Ecomatin : TIC, le Cameroun compte plus de 50 fournisseurs d'accès Internet en activité (confiance : low)</t>
  </si>
  <si>
    <t xml:space="preserve">https://ecomatin.net/tic-le-cameroun-compte-plus-de-50-fournisseurs-dacces-internet-en-activite</t>
  </si>
  <si>
    <t xml:space="preserve">n_lines</t>
  </si>
  <si>
    <t xml:space="preserve">Lignes internet (redondance)</t>
  </si>
  <si>
    <t xml:space="preserve">lignes</t>
  </si>
  <si>
    <t xml:space="preserve">adobe</t>
  </si>
  <si>
    <t xml:space="preserve">Adobe Creative Cloud Pro, par utilisateur</t>
  </si>
  <si>
    <t xml:space="preserve">FranceFG – Adobe Creative Cloud prix 2026 comparatif (confiance : low)</t>
  </si>
  <si>
    <t xml:space="preserve">https://francefg.fr/photoshop/adobe-creative-cloud-prix-2026-comparatif/</t>
  </si>
  <si>
    <t xml:space="preserve">adobe_users</t>
  </si>
  <si>
    <t xml:space="preserve">Utilisateurs Adobe</t>
  </si>
  <si>
    <t xml:space="preserve">licences</t>
  </si>
  <si>
    <t xml:space="preserve">Durées d'amortissement (hypothèses à valider ; plafonds : CGI art. 7)</t>
  </si>
  <si>
    <t xml:space="preserve">dur_building</t>
  </si>
  <si>
    <t xml:space="preserve">Durée : Bâtiment</t>
  </si>
  <si>
    <t xml:space="preserve">ans</t>
  </si>
  <si>
    <t xml:space="preserve">dur_cloture</t>
  </si>
  <si>
    <t xml:space="preserve">Durée : Clôture</t>
  </si>
  <si>
    <t xml:space="preserve">dur_equip_it_photo</t>
  </si>
  <si>
    <t xml:space="preserve">Durée : Matériel photo et informatique</t>
  </si>
  <si>
    <t xml:space="preserve">dur_furniture</t>
  </si>
  <si>
    <t xml:space="preserve">Durée : Mobilier</t>
  </si>
  <si>
    <t xml:space="preserve">dur_security</t>
  </si>
  <si>
    <t xml:space="preserve">Durée : Sécurité</t>
  </si>
  <si>
    <t xml:space="preserve">dur_energy</t>
  </si>
  <si>
    <t xml:space="preserve">Durée : Groupe électrogène</t>
  </si>
  <si>
    <t xml:space="preserve">dur_moto</t>
  </si>
  <si>
    <t xml:space="preserve">Durée : Motos</t>
  </si>
  <si>
    <t xml:space="preserve">dur_van</t>
  </si>
  <si>
    <t xml:space="preserve">Durée : Utilitaire</t>
  </si>
  <si>
    <t xml:space="preserve">dur_car</t>
  </si>
  <si>
    <t xml:space="preserve">Durée : Véhicule de service</t>
  </si>
  <si>
    <t xml:space="preserve">Prix, studio et commercial</t>
  </si>
  <si>
    <t xml:space="preserve">margin</t>
  </si>
  <si>
    <t xml:space="preserve">Marge cible sur coût complet</t>
  </si>
  <si>
    <t xml:space="preserve">hours_day</t>
  </si>
  <si>
    <t xml:space="preserve">Heures de shooting par jour</t>
  </si>
  <si>
    <t xml:space="preserve">h</t>
  </si>
  <si>
    <t xml:space="preserve">occupancy</t>
  </si>
  <si>
    <t xml:space="preserve">Taux d'occupation du studio</t>
  </si>
  <si>
    <t xml:space="preserve">studio_days</t>
  </si>
  <si>
    <t xml:space="preserve">Jours d'ouverture du studio par mois</t>
  </si>
  <si>
    <t xml:space="preserve">pk_h</t>
  </si>
  <si>
    <t xml:space="preserve">Packshots par heure (prise de vue + retouche)</t>
  </si>
  <si>
    <t xml:space="preserve">produits/h</t>
  </si>
  <si>
    <t xml:space="preserve">ls_h</t>
  </si>
  <si>
    <t xml:space="preserve">Photos lifestyle par heure</t>
  </si>
  <si>
    <t xml:space="preserve">studio_elec_share</t>
  </si>
  <si>
    <t xml:space="preserve">Part de l'électricité consommée par le studio</t>
  </si>
  <si>
    <t xml:space="preserve">mkt_packshot</t>
  </si>
  <si>
    <t xml:space="preserve">Marché : packshot, bas de fourchette</t>
  </si>
  <si>
    <t xml:space="preserve">FCFA/produit</t>
  </si>
  <si>
    <t xml:space="preserve">Kolonell : catalogue produits d'une boutique en ligne à Douala et Yaoundé (2026) (confiance : low)</t>
  </si>
  <si>
    <t xml:space="preserve">https://kolonell.com/fr/blog/catalogue-produits-boutique-en-ligne-douala-yaounde-2026</t>
  </si>
  <si>
    <t xml:space="preserve">mkt_lifestyle</t>
  </si>
  <si>
    <t xml:space="preserve">Marché : lifestyle, bas de fourchette</t>
  </si>
  <si>
    <t xml:space="preserve">mkt_short</t>
  </si>
  <si>
    <t xml:space="preserve">Marché : vidéo courte de produit, bas de fourchette</t>
  </si>
  <si>
    <t xml:space="preserve">FCFA/vidéo</t>
  </si>
  <si>
    <t xml:space="preserve">Kolonell — catalogue produits boutique en ligne (Cameroun) (confiance : low)</t>
  </si>
  <si>
    <t xml:space="preserve">basket</t>
  </si>
  <si>
    <t xml:space="preserve">Panier moyen e-commerce Douala / Yaoundé</t>
  </si>
  <si>
    <t xml:space="preserve">Kolonell : comparatif des moyens de paiement e-commerce au Cameroun (2026) (confiance : low)</t>
  </si>
  <si>
    <t xml:space="preserve">https://kolonell.com/fr/blog/moyens-paiement-e-commerce-cameroun-comparatif-2026</t>
  </si>
  <si>
    <t xml:space="preserve">pay_fee</t>
  </si>
  <si>
    <t xml:space="preserve">Encaissement Orange Money, estimation (1,4 %) + taxe État (0,2 %)</t>
  </si>
  <si>
    <t xml:space="preserve">Orange Money / MTN MoMo + taxe de 0,2 % (confiance : low)</t>
  </si>
  <si>
    <t xml:space="preserve">https://kolonell.com/fr/blog/cout-reel-encaissement-orange-m</t>
  </si>
  <si>
    <t xml:space="preserve">commission</t>
  </si>
  <si>
    <t xml:space="preserve">Commission ALQAVYA HT sur le panier</t>
  </si>
  <si>
    <t xml:space="preserve">choisi</t>
  </si>
  <si>
    <t xml:space="preserve">Repère : take rate Jumia 12 à 22 % (Afrique de l'Ouest) (confiance : low)</t>
  </si>
  <si>
    <t xml:space="preserve">https://kolonell.com/fr/blog/take-rate-marketplace-afrique-modeles-2026</t>
  </si>
  <si>
    <t xml:space="preserve">sellers_per_com</t>
  </si>
  <si>
    <t xml:space="preserve">Vendeurs premium suivis par commercial</t>
  </si>
  <si>
    <t xml:space="preserve">vendeurs</t>
  </si>
  <si>
    <t xml:space="preserve">deliv_rec</t>
  </si>
  <si>
    <t xml:space="preserve">Prix conseillé de la livraison (TTC)</t>
  </si>
  <si>
    <t xml:space="preserve">sub_rec</t>
  </si>
  <si>
    <t xml:space="preserve">Prix conseillé de l'abonnement premium (TTC / mois)</t>
  </si>
  <si>
    <t xml:space="preserve">Masse salariale mensuelle — maison mère de Yaoundé et siège France</t>
  </si>
  <si>
    <t xml:space="preserve">Poste</t>
  </si>
  <si>
    <t xml:space="preserve">Pôle</t>
  </si>
  <si>
    <t xml:space="preserve">Effectif</t>
  </si>
  <si>
    <t xml:space="preserve">Brut mensuel</t>
  </si>
  <si>
    <t xml:space="preserve">Charges patronales</t>
  </si>
  <si>
    <t xml:space="preserve">Jours (transport)</t>
  </si>
  <si>
    <t xml:space="preserve">Coût chargé / mois</t>
  </si>
  <si>
    <t xml:space="preserve">Total mensuel</t>
  </si>
  <si>
    <t xml:space="preserve">Directeur général Afrique</t>
  </si>
  <si>
    <t xml:space="preserve">Direction</t>
  </si>
  <si>
    <t xml:space="preserve">Responsable hub &amp; logistique</t>
  </si>
  <si>
    <t xml:space="preserve">Opérations</t>
  </si>
  <si>
    <t xml:space="preserve">Agents de hub (réception, scan, stock)</t>
  </si>
  <si>
    <t xml:space="preserve">Magasinier</t>
  </si>
  <si>
    <t xml:space="preserve">Livreurs moto salariés</t>
  </si>
  <si>
    <t xml:space="preserve">Chauffeur utilitaire</t>
  </si>
  <si>
    <t xml:space="preserve">Réceptionniste</t>
  </si>
  <si>
    <t xml:space="preserve">Clients &amp; vendeurs</t>
  </si>
  <si>
    <t xml:space="preserve">Agents SAV / litiges</t>
  </si>
  <si>
    <t xml:space="preserve">Commerciaux vendeurs (growth)</t>
  </si>
  <si>
    <t xml:space="preserve">Photographe produit (lead studio)</t>
  </si>
  <si>
    <t xml:space="preserve">Studio Premium</t>
  </si>
  <si>
    <t xml:space="preserve">Vidéaste / monteur</t>
  </si>
  <si>
    <t xml:space="preserve">Graphiste-retoucheur &amp; impression</t>
  </si>
  <si>
    <t xml:space="preserve">Développeurs full-stack</t>
  </si>
  <si>
    <t xml:space="preserve">Informatique &amp; tracking</t>
  </si>
  <si>
    <t xml:space="preserve">Analyste data (salle de tracking)</t>
  </si>
  <si>
    <t xml:space="preserve">Community manager (tracking réseaux)</t>
  </si>
  <si>
    <t xml:space="preserve">Comptable</t>
  </si>
  <si>
    <t xml:space="preserve">Support</t>
  </si>
  <si>
    <t xml:space="preserve">RH &amp; formation (Academy)</t>
  </si>
  <si>
    <t xml:space="preserve">Agent d'entretien</t>
  </si>
  <si>
    <t xml:space="preserve">Total salariés Yaoundé</t>
  </si>
  <si>
    <t xml:space="preserve">Gardiennage (1 poste 24h/24, société agréée)</t>
  </si>
  <si>
    <t xml:space="preserve">Brut annuel (€)</t>
  </si>
  <si>
    <t xml:space="preserve">Charges (€)</t>
  </si>
  <si>
    <t xml:space="preserve">Coût annuel (€)</t>
  </si>
  <si>
    <t xml:space="preserve">Coût mensuel (FCFA)</t>
  </si>
  <si>
    <t xml:space="preserve">Président-fondateur (rémunéré au SMIC au démarrage)</t>
  </si>
  <si>
    <t xml:space="preserve">Contrôleur de gestion / finance groupe</t>
  </si>
  <si>
    <t xml:space="preserve">Coordinateur achats &amp; import (sourcing Europe)</t>
  </si>
  <si>
    <t xml:space="preserve">Total siège France</t>
  </si>
  <si>
    <t xml:space="preserve">Maison mère Afrique (Yaoundé) — programme des espaces et investissement immobilier</t>
  </si>
  <si>
    <t xml:space="preserve">Espace</t>
  </si>
  <si>
    <t xml:space="preserve">Surface (m²)</t>
  </si>
  <si>
    <t xml:space="preserve">Standing</t>
  </si>
  <si>
    <t xml:space="preserve">Coût / m² (FCFA)</t>
  </si>
  <si>
    <t xml:space="preserve">Coût de construction (FCFA)</t>
  </si>
  <si>
    <t xml:space="preserve">Part du coût du bâtiment</t>
  </si>
  <si>
    <t xml:space="preserve">Réception &amp; contrôle des produits (quai)</t>
  </si>
  <si>
    <t xml:space="preserve">entrepot</t>
  </si>
  <si>
    <t xml:space="preserve">Stockage (hub Yaoundé)</t>
  </si>
  <si>
    <t xml:space="preserve">Studio Premium haut standing (plateau, loge, post-prod)</t>
  </si>
  <si>
    <t xml:space="preserve">Pôle informatique</t>
  </si>
  <si>
    <t xml:space="preserve">standard</t>
  </si>
  <si>
    <t xml:space="preserve">Salle de tracking des produits gagnants</t>
  </si>
  <si>
    <t xml:space="preserve">Bureaux des équipes (ops, SAV, vendeurs, finance, RH)</t>
  </si>
  <si>
    <t xml:space="preserve">Salle de formation (Academy, 20 places)</t>
  </si>
  <si>
    <t xml:space="preserve">Atelier d'impression des affiches</t>
  </si>
  <si>
    <t xml:space="preserve">Salles de réunion (x2)</t>
  </si>
  <si>
    <t xml:space="preserve">Bureaux des membres clés (x4)</t>
  </si>
  <si>
    <t xml:space="preserve">Sanitaires, vestiaires, espace pause</t>
  </si>
  <si>
    <t xml:space="preserve">Circulations et locaux techniques (réparties au prorata)</t>
  </si>
  <si>
    <t xml:space="preserve">Surface de plancher et coût de construction</t>
  </si>
  <si>
    <t xml:space="preserve">Terrain (prix × surface)</t>
  </si>
  <si>
    <t xml:space="preserve">Droits d'enregistrement 5 % + conservation foncière 2 %</t>
  </si>
  <si>
    <t xml:space="preserve">Émoluments du notaire (barème par tranche)</t>
  </si>
  <si>
    <t xml:space="preserve">Permis de bâtir</t>
  </si>
  <si>
    <t xml:space="preserve">Mur de clôture HT (périmètre d'un terrain carré × prix HT)</t>
  </si>
  <si>
    <t xml:space="preserve">Construction</t>
  </si>
  <si>
    <t xml:space="preserve">INVESTISSEMENT IMMOBILIER (hors parking pavé, VRD, forage : sur devis)</t>
  </si>
  <si>
    <t xml:space="preserve">Équipements achetés en France (HT export), fret, douane camerounaise → coût rendu</t>
  </si>
  <si>
    <t xml:space="preserve">Désignation</t>
  </si>
  <si>
    <t xml:space="preserve">Groupe</t>
  </si>
  <si>
    <t xml:space="preserve">Qté</t>
  </si>
  <si>
    <t xml:space="preserve">Prix unitaire (€)</t>
  </si>
  <si>
    <t xml:space="preserve">Base</t>
  </si>
  <si>
    <t xml:space="preserve">Prix HT export (€)</t>
  </si>
  <si>
    <t xml:space="preserve">Valeur FOB (FCFA)</t>
  </si>
  <si>
    <t xml:space="preserve">Quote-part fret (FCFA)</t>
  </si>
  <si>
    <t xml:space="preserve">Valeur CAF (FCFA)</t>
  </si>
  <si>
    <t xml:space="preserve">Droit de douane</t>
  </si>
  <si>
    <t xml:space="preserve">Autres prélèvements</t>
  </si>
  <si>
    <t xml:space="preserve">Droits et taxes (FCFA)</t>
  </si>
  <si>
    <t xml:space="preserve">Coût rendu (FCFA)</t>
  </si>
  <si>
    <t xml:space="preserve">Boîtier Sony A7 IV</t>
  </si>
  <si>
    <t xml:space="preserve">Studio</t>
  </si>
  <si>
    <t xml:space="preserve">TTC</t>
  </si>
  <si>
    <t xml:space="preserve">https://www.boulanger.com/ref/1172131</t>
  </si>
  <si>
    <t xml:space="preserve">Objectif Sony FE 90 mm Macro G</t>
  </si>
  <si>
    <t xml:space="preserve">https://www.qualescegliere.it/gtin_obiettivi-per-fotocamere/4548736007970/</t>
  </si>
  <si>
    <t xml:space="preserve">Objectif Sony FE 24-70 mm f/2.8 GM II</t>
  </si>
  <si>
    <t xml:space="preserve">https://www.pccomponentes.fr/sony-fe-24-70-mm-f28-gm-ii</t>
  </si>
  <si>
    <t xml:space="preserve">Flash Profoto B10X</t>
  </si>
  <si>
    <t xml:space="preserve">https://profoto.com/bg/fr/shop/products/lights/monolights/profoto-b10x-us</t>
  </si>
  <si>
    <t xml:space="preserve">Flash Godox AD600 Pro II</t>
  </si>
  <si>
    <t xml:space="preserve">https://center.lv/en/sony/Cameras-Camcorders-and-Optics/Flashes-lights/Flashes-and-accessories/External-flashes/10494-AD600Pro-II-All-in-One-Outdoor-Flash</t>
  </si>
  <si>
    <t xml:space="preserve">Projecteur LED Aputure LS 600d Pro</t>
  </si>
  <si>
    <t xml:space="preserve">HT</t>
  </si>
  <si>
    <t xml:space="preserve">https://avned.nl/merken/aputure/daglicht_5600k</t>
  </si>
  <si>
    <t xml:space="preserve">Stabilisateur DJI RS 4</t>
  </si>
  <si>
    <t xml:space="preserve">https://kulturegeek.fr/comparateur/produit/stabilisateur-dji-rs-4-7306</t>
  </si>
  <si>
    <t xml:space="preserve">Mac Studio M4 Max (retouche)</t>
  </si>
  <si>
    <t xml:space="preserve">https://consomac.fr/news-22278-le-prix-du-mac-studio-2025-baisse-de-200.html</t>
  </si>
  <si>
    <t xml:space="preserve">Écran étalonné BenQ SW272U</t>
  </si>
  <si>
    <t xml:space="preserve">https://www.topachat.com/pages/detail2_cat_est_peripheriques_puis_rubrique_est_w_moni_puis_ref_est_in20019521.html</t>
  </si>
  <si>
    <t xml:space="preserve">MacBook Pro 14 M5 (postes de bureau)</t>
  </si>
  <si>
    <t xml:space="preserve">Informatique</t>
  </si>
  <si>
    <t xml:space="preserve">https://www.iphon.fr/?p=219249</t>
  </si>
  <si>
    <t xml:space="preserve">NAS Synology DS923+</t>
  </si>
  <si>
    <t xml:space="preserve">https://www.mac4ever.com/mac/174138-synology-lance-le-nas-4-baies-ds923</t>
  </si>
  <si>
    <t xml:space="preserve">Passerelle Ubiquiti UniFi Dream Machine Pro</t>
  </si>
  <si>
    <t xml:space="preserve">https://www.comparateur-gamer.fr/prix/ubiquiti-unifi-dream-machine-pro-817882027373</t>
  </si>
  <si>
    <t xml:space="preserve">Traceur grand format Epson SC-T5700D (affiches)</t>
  </si>
  <si>
    <t xml:space="preserve">Impression</t>
  </si>
  <si>
    <t xml:space="preserve">https://www.123inkt.be/Epson-SureColor-SC-T5700D-36-inch-inkjetprinter-met-wifi-C11CH81301A0-i108902.html</t>
  </si>
  <si>
    <t xml:space="preserve">Enregistreur vidéo Hikvision 8 voies</t>
  </si>
  <si>
    <t xml:space="preserve">Sécurité</t>
  </si>
  <si>
    <t xml:space="preserve">https://fr.shopping.rakuten.com/s/nvr</t>
  </si>
  <si>
    <t xml:space="preserve">Contrôle d'accès (par porte)</t>
  </si>
  <si>
    <t xml:space="preserve">https://www.companeo.com/securite-electronique/FAQ/prix-controle-acces-entreprise</t>
  </si>
  <si>
    <t xml:space="preserve">Fauteuil Steelcase Gesture</t>
  </si>
  <si>
    <t xml:space="preserve">Mobilier</t>
  </si>
  <si>
    <t xml:space="preserve">https://www.comparateur-gamer.fr/prix/steelcase-gesture-chaise-de-bureau-ergonomique-avec-3760345221368</t>
  </si>
  <si>
    <t xml:space="preserve">Bureau professionnel 160 x 80</t>
  </si>
  <si>
    <t xml:space="preserve">https://www.hellopro.fr/mt-international-bureau-droit-l160xp80-plateau-chene-brut-et-pieds-u-noir-2015734-10255905-produit.html</t>
  </si>
  <si>
    <t xml:space="preserve">Banque d'accueil 2 postes</t>
  </si>
  <si>
    <t xml:space="preserve">https://www.hellopro.fr/banque-d-accueil-z2-pour-deux-personnes-avec-acces-bas-officity-orange-blanc-466-2001557-19222535-produit.html</t>
  </si>
  <si>
    <t xml:space="preserve">Groupe électrogène triphasé 10-60 kVA</t>
  </si>
  <si>
    <t xml:space="preserve">Énergie</t>
  </si>
  <si>
    <t xml:space="preserve">https://conseils.hellopro.fr/guide-des-prix-des-groupes-electrogenes-1159.html</t>
  </si>
  <si>
    <t xml:space="preserve">Commissionnaire en douane (frais de dossier)</t>
  </si>
  <si>
    <t xml:space="preserve">COÛT RENDU YAOUNDÉ (hors transport Douala → Yaoundé : sur devis)</t>
  </si>
  <si>
    <t xml:space="preserve">Prix catalogue équivalent TTC (pour mémoire)</t>
  </si>
  <si>
    <t xml:space="preserve">TVA camerounaise à l'import (19,25 %), récupérable au régime du réel</t>
  </si>
  <si>
    <t xml:space="preserve">Flotte (achetée au Cameroun : droits déjà inclus dans le prix local)</t>
  </si>
  <si>
    <t xml:space="preserve">Véhicule</t>
  </si>
  <si>
    <t xml:space="preserve">Nombre</t>
  </si>
  <si>
    <t xml:space="preserve">Prix unitaire (FCFA)</t>
  </si>
  <si>
    <t xml:space="preserve">Investissement (FCFA)</t>
  </si>
  <si>
    <t xml:space="preserve">Durée (ans)</t>
  </si>
  <si>
    <t xml:space="preserve">Amortissement / mois (FCFA)</t>
  </si>
  <si>
    <t xml:space="preserve">Motos de livraison 125-150 cm³</t>
  </si>
  <si>
    <t xml:space="preserve">Utilitaire Toyota Hiace</t>
  </si>
  <si>
    <t xml:space="preserve">Véhicule de service Toyota Hilux</t>
  </si>
  <si>
    <t xml:space="preserve">Total flotte</t>
  </si>
  <si>
    <t xml:space="preserve">Coûts mensuels : fonctionnement Cameroun, amortissements, siège France</t>
  </si>
  <si>
    <t xml:space="preserve">Montant mensuel (FCFA)</t>
  </si>
  <si>
    <t xml:space="preserve">Calcul</t>
  </si>
  <si>
    <t xml:space="preserve">Masse salariale Yaoundé (chargée)</t>
  </si>
  <si>
    <t xml:space="preserve">feuille Masse salariale</t>
  </si>
  <si>
    <t xml:space="preserve">Gardiennage</t>
  </si>
  <si>
    <t xml:space="preserve">4,2 ETP × prix société</t>
  </si>
  <si>
    <t xml:space="preserve">Électricité ENEO</t>
  </si>
  <si>
    <t xml:space="preserve">kWh × tarif</t>
  </si>
  <si>
    <t xml:space="preserve">Internet professionnel</t>
  </si>
  <si>
    <t xml:space="preserve">2 lignes</t>
  </si>
  <si>
    <t xml:space="preserve">Licences Adobe</t>
  </si>
  <si>
    <t xml:space="preserve">3 licences</t>
  </si>
  <si>
    <t xml:space="preserve">Carburant motos</t>
  </si>
  <si>
    <t xml:space="preserve">motos × livraisons × km × L/100 km × prix</t>
  </si>
  <si>
    <t xml:space="preserve">Carburant utilitaire</t>
  </si>
  <si>
    <t xml:space="preserve">km × L/100 km × gasoil</t>
  </si>
  <si>
    <t xml:space="preserve">Taxe foncière</t>
  </si>
  <si>
    <t xml:space="preserve">0,1 % de la valeur, mensualisée</t>
  </si>
  <si>
    <t xml:space="preserve">Total fonctionnement Cameroun</t>
  </si>
  <si>
    <t xml:space="preserve">Amortissement bâtiment (construction + permis)</t>
  </si>
  <si>
    <t xml:space="preserve">Amortissement clôture</t>
  </si>
  <si>
    <t xml:space="preserve">Amortissement matériel studio</t>
  </si>
  <si>
    <t xml:space="preserve">Amortissement informatique et impression</t>
  </si>
  <si>
    <t xml:space="preserve">Amortissement sécurité</t>
  </si>
  <si>
    <t xml:space="preserve">Amortissement mobilier</t>
  </si>
  <si>
    <t xml:space="preserve">Amortissement groupe électrogène</t>
  </si>
  <si>
    <t xml:space="preserve">Amortissement motos</t>
  </si>
  <si>
    <t xml:space="preserve">Amortissement utilitaire</t>
  </si>
  <si>
    <t xml:space="preserve">Amortissement véhicule de service</t>
  </si>
  <si>
    <t xml:space="preserve">Total amortissements</t>
  </si>
  <si>
    <t xml:space="preserve">Siège France : salaires chargés</t>
  </si>
  <si>
    <t xml:space="preserve">Siège France : loyer</t>
  </si>
  <si>
    <t xml:space="preserve">Siège France : expert-comptable</t>
  </si>
  <si>
    <t xml:space="preserve">Siège France : RC Pro</t>
  </si>
  <si>
    <t xml:space="preserve">Siège France : banque</t>
  </si>
  <si>
    <t xml:space="preserve">Postes non chiffrés faute de source publique fiable (provisions, sur devis) :</t>
  </si>
  <si>
    <t xml:space="preserve">• Assurances (bâtiment, flotte, RC) : devis assureurs agréés</t>
  </si>
  <si>
    <t xml:space="preserve">• Équipements et véhicules des hubs classiques</t>
  </si>
  <si>
    <t xml:space="preserve">• Raccordement moyenne tension ENEO si la puissance l'exige</t>
  </si>
  <si>
    <t xml:space="preserve">• Entretien des motos et de l'utilitaire, pièces</t>
  </si>
  <si>
    <t xml:space="preserve">• Caméras de vidéosurveillance (aucun prix européen fiable trouvé)</t>
  </si>
  <si>
    <t xml:space="preserve">• Parking pavé, VRD, forage, raccordements ENEO et CAMWATER</t>
  </si>
  <si>
    <t xml:space="preserve">• Frais portuaires à Kribi et transport du conteneur Kribi → Yaoundé</t>
  </si>
  <si>
    <t xml:space="preserve">• Fonds et accessoires de studio, consommables d'impression</t>
  </si>
  <si>
    <t xml:space="preserve">• Hébergement web, logiciels métiers, eau, CFE France</t>
  </si>
  <si>
    <t xml:space="preserve">• Budget marketing (décision de gestion, pas un prix)</t>
  </si>
  <si>
    <t xml:space="preserve">Prix calculés à partir des coûts complets</t>
  </si>
  <si>
    <t xml:space="preserve">1. LIVRAISON INTRA-YAOUNDÉ</t>
  </si>
  <si>
    <t xml:space="preserve">Valeur</t>
  </si>
  <si>
    <t xml:space="preserve">Calcul / repère</t>
  </si>
  <si>
    <t xml:space="preserve">Livraisons par moto et par mois</t>
  </si>
  <si>
    <t xml:space="preserve">Capacité de la flotte (livraisons / mois)</t>
  </si>
  <si>
    <t xml:space="preserve">Coursier par livraison</t>
  </si>
  <si>
    <t xml:space="preserve">coût chargé ÷ livraisons</t>
  </si>
  <si>
    <t xml:space="preserve">Amortissement moto par livraison</t>
  </si>
  <si>
    <t xml:space="preserve">Carburant par livraison</t>
  </si>
  <si>
    <t xml:space="preserve">Part du bâtiment occupée par le hub (selon son coût)</t>
  </si>
  <si>
    <t xml:space="preserve">Manutention hub par colis (équipe + locaux)</t>
  </si>
  <si>
    <t xml:space="preserve">COÛT DE REVIENT D'UNE LIVRAISON</t>
  </si>
  <si>
    <t xml:space="preserve">Prix plancher HT (coût + marge)</t>
  </si>
  <si>
    <t xml:space="preserve">PRIX PLANCHER TTC</t>
  </si>
  <si>
    <t xml:space="preserve">marché : 1 500 à 2 500 FCFA la course (Cameroon Tribune)</t>
  </si>
  <si>
    <t xml:space="preserve">Prix conseillé TTC</t>
  </si>
  <si>
    <t xml:space="preserve">haut du marché : couvre assurance et entretien à chiffrer</t>
  </si>
  <si>
    <t xml:space="preserve">2. STUDIO PREMIUM</t>
  </si>
  <si>
    <t xml:space="preserve">Équipe studio (photographe, vidéaste, ½ graphiste)</t>
  </si>
  <si>
    <t xml:space="preserve">Part du bâtiment occupée par le studio (selon son coût)</t>
  </si>
  <si>
    <t xml:space="preserve">Amortissement du matériel studio importé</t>
  </si>
  <si>
    <t xml:space="preserve">Électricité du studio</t>
  </si>
  <si>
    <t xml:space="preserve">Licences logicielles</t>
  </si>
  <si>
    <t xml:space="preserve">COÛT MENSUEL COMPLET DU STUDIO</t>
  </si>
  <si>
    <t xml:space="preserve">Heures facturables par mois</t>
  </si>
  <si>
    <t xml:space="preserve">COÛT D'UNE HEURE DE STUDIO</t>
  </si>
  <si>
    <t xml:space="preserve">Starter : heures (5 produits en packshot fond blanc, retouchés + fiches)</t>
  </si>
  <si>
    <t xml:space="preserve">Starter : coût de revient</t>
  </si>
  <si>
    <t xml:space="preserve">Starter : prix d'équilibre TTC (coût + TVA, sans marge)</t>
  </si>
  <si>
    <t xml:space="preserve">Starter : PRIX PLANCHER TTC (coût + marge + TVA)</t>
  </si>
  <si>
    <t xml:space="preserve">Starter : repère marché (bas de fourchette)</t>
  </si>
  <si>
    <t xml:space="preserve">Starter : PRIX CONSEILLÉ TTC = max(marché, plancher arrondi à 5 000)</t>
  </si>
  <si>
    <t xml:space="preserve">Boost : heures (5 packshots + 5 lifestyle + 1 flyer + 1 short)</t>
  </si>
  <si>
    <t xml:space="preserve">Boost : coût de revient</t>
  </si>
  <si>
    <t xml:space="preserve">Boost : prix d'équilibre TTC (coût + TVA, sans marge)</t>
  </si>
  <si>
    <t xml:space="preserve">Boost : PRIX PLANCHER TTC (coût + marge + TVA)</t>
  </si>
  <si>
    <t xml:space="preserve">Boost : repère marché (bas de fourchette)</t>
  </si>
  <si>
    <t xml:space="preserve">Boost : PRIX CONSEILLÉ TTC = max(marché, plancher arrondi à 5 000)</t>
  </si>
  <si>
    <t xml:space="preserve">Business : heures (20 packshots + 10 lifestyle + mini-branding + 3 shorts)</t>
  </si>
  <si>
    <t xml:space="preserve">Business : coût de revient</t>
  </si>
  <si>
    <t xml:space="preserve">Business : prix d'équilibre TTC (coût + TVA, sans marge)</t>
  </si>
  <si>
    <t xml:space="preserve">Business : PRIX PLANCHER TTC (coût + marge + TVA)</t>
  </si>
  <si>
    <t xml:space="preserve">Business : repère marché (bas de fourchette)</t>
  </si>
  <si>
    <t xml:space="preserve">Business : PRIX CONSEILLÉ TTC = max(marché, plancher arrondi à 5 000)</t>
  </si>
  <si>
    <t xml:space="preserve">3. COMMISSION ET SEUILS DE RENTABILITÉ</t>
  </si>
  <si>
    <t xml:space="preserve">Commission par commande (HT)</t>
  </si>
  <si>
    <t xml:space="preserve">Frais mobile money (panier + livraison TTC)</t>
  </si>
  <si>
    <t xml:space="preserve">Marge sur la livraison (au prix plancher, par prudence)</t>
  </si>
  <si>
    <t xml:space="preserve">l'écart jusqu'au prix conseillé est réservé à l'assurance et à l'entretien</t>
  </si>
  <si>
    <t xml:space="preserve">Patente (sur le CA HT de la filiale)</t>
  </si>
  <si>
    <t xml:space="preserve">Minimum de perception (2,2 % du CA HT)</t>
  </si>
  <si>
    <t xml:space="preserve">CONTRIBUTION NETTE PAR COMMANDE</t>
  </si>
  <si>
    <t xml:space="preserve">Charges fixes de la filiale (hors livraison et studio)</t>
  </si>
  <si>
    <t xml:space="preserve">Siège France (coût mensuel)</t>
  </si>
  <si>
    <t xml:space="preserve">Frais de siège à facturer (siège au coût, retenue 7,5 % perdue)</t>
  </si>
  <si>
    <t xml:space="preserve">Facteur après IS (frais déductibles à 2,5 % seulement)</t>
  </si>
  <si>
    <t xml:space="preserve">SEUIL FILIALE SEULE (siège France financé par levée de fonds)</t>
  </si>
  <si>
    <t xml:space="preserve">SEUIL GROUPE APRÈS IMPÔTS (siège financé par les frais de siège)</t>
  </si>
  <si>
    <t xml:space="preserve">Volume d'affaires au seuil groupe (GMV / mois)</t>
  </si>
  <si>
    <t xml:space="preserve">Motos nécessaires au seuil groupe</t>
  </si>
  <si>
    <t xml:space="preserve">Marge mensuelle du studio aux prix conseillés</t>
  </si>
  <si>
    <t xml:space="preserve">Seuil groupe avec la marge du studio</t>
  </si>
  <si>
    <t xml:space="preserve">4. ABONNEMENT VENDEUR PREMIUM</t>
  </si>
  <si>
    <t xml:space="preserve">Coût d'accompagnement par vendeur et par mois</t>
  </si>
  <si>
    <t xml:space="preserve">PRIX PLANCHER TTC / mois</t>
  </si>
  <si>
    <t xml:space="preserve">Prix conseillé TTC / mois</t>
  </si>
  <si>
    <t xml:space="preserve">Remonter 100 FCFA de bénéfice camerounais vers la France : quatre cas</t>
  </si>
  <si>
    <t xml:space="preserve">Étape</t>
  </si>
  <si>
    <t xml:space="preserve">Dividendes (droit commun)</t>
  </si>
  <si>
    <t xml:space="preserve">Dividendes (PME)</t>
  </si>
  <si>
    <t xml:space="preserve">Frais de siège, siège au coût</t>
  </si>
  <si>
    <t xml:space="preserve">Frais de siège, siège imposé à 25 %</t>
  </si>
  <si>
    <t xml:space="preserve">Bénéfice avant impôt au Cameroun</t>
  </si>
  <si>
    <t xml:space="preserve">IS Cameroun</t>
  </si>
  <si>
    <t xml:space="preserve">Montant versé à la France</t>
  </si>
  <si>
    <t xml:space="preserve">Retenue à la source au Cameroun</t>
  </si>
  <si>
    <t xml:space="preserve">Impôt France</t>
  </si>
  <si>
    <t xml:space="preserve">NET DISPONIBLE EN FRANCE</t>
  </si>
  <si>
    <t xml:space="preserve">Frais de siège : déductibles au Cameroun dans la limite de 2,5 % du bénéfice ; retenue de 7,5 % pour l'assistance technique documentée (15 % de TSR sinon) ; TVA camerounaise de 19,25 % autoliquidée par la filiale (déductible). Siège au coût : pas d'IS français, la retenue est perdue. Siège imposé : IS français à 25 % sous déduction de la retenue. À valider par un fiscaliste.</t>
  </si>
  <si>
    <t xml:space="preserve">Hubs classiques — terrain, bâtiment et clôture (hors équipements)</t>
  </si>
  <si>
    <t xml:space="preserve">Élément</t>
  </si>
  <si>
    <t xml:space="preserve">Hub S (sans studio)</t>
  </si>
  <si>
    <t xml:space="preserve">Hub M (studio compact)</t>
  </si>
  <si>
    <t xml:space="preserve">Stockage (m²)</t>
  </si>
  <si>
    <t xml:space="preserve">Bureau du gestionnaire (m²)</t>
  </si>
  <si>
    <t xml:space="preserve">Accueil et retrait (m²)</t>
  </si>
  <si>
    <t xml:space="preserve">Sanitaires (m²)</t>
  </si>
  <si>
    <t xml:space="preserve">Studio compact haut standing (m²)</t>
  </si>
  <si>
    <t xml:space="preserve">Surface du terrain (m²)</t>
  </si>
  <si>
    <t xml:space="preserve">Surface de plancher (avec 15 % de circulations)</t>
  </si>
  <si>
    <t xml:space="preserve">Construction (FCFA)</t>
  </si>
  <si>
    <t xml:space="preserve">Terrain (FCFA)</t>
  </si>
  <si>
    <t xml:space="preserve">Droits, conservation, notaire, permis (FCFA)</t>
  </si>
  <si>
    <t xml:space="preserve">Clôture HT (FCFA)</t>
  </si>
  <si>
    <t xml:space="preserve">INVESTISSEMENT TERRAIN + BÂTIMENT + CLÔTURE (FCFA)</t>
  </si>
  <si>
    <t xml:space="preserve">Base de données sourcée (recherche web, octobre 2026)</t>
  </si>
  <si>
    <t xml:space="preserve">Thème</t>
  </si>
  <si>
    <t xml:space="preserve">Clé</t>
  </si>
  <si>
    <t xml:space="preserve">Date</t>
  </si>
  <si>
    <t xml:space="preserve">Confiance</t>
  </si>
  <si>
    <t xml:space="preserve">Note</t>
  </si>
  <si>
    <t xml:space="preserve">fisc_cm</t>
  </si>
  <si>
    <t xml:space="preserve">is_taux_normal</t>
  </si>
  <si>
    <t xml:space="preserve">Impôt sur les sociétés, taux normal (CAC de 10 % compris)</t>
  </si>
  <si>
    <t xml:space="preserve">2025-2026 (CGI art. 17)</t>
  </si>
  <si>
    <t xml:space="preserve">high</t>
  </si>
  <si>
    <t xml:space="preserve">DGI Cameroun : Fiche technique A/s Impôt sur les Sociétés (IS)</t>
  </si>
  <si>
    <t xml:space="preserve">Fiche DGI : « Le taux applicable au Cameroun en matière d'impôt sur les sociétés est de 30% (article 17 (1) du CGI) », majoré de 10 % de centimes additionnels communaux, soit 33 %. PwC Worldwide Tax Summaries (revue d'août 2026) donne 33 % pour un CA supérieur à 3 milliards XAF (https://taxsummaries.pwc.com/Republic-of-Cameroon/Corporate/Taxes-on-corporate-income). La LF 2026 (loi n° 2025/012 du 17/12/2025) ne modifie pas ce taux. Chiffres repris des extraits du moteur de recherche : la page n'a pas pu être ouverte directement (réseau bloqué).</t>
  </si>
  <si>
    <t xml:space="preserve">is_taux_reduit_pme</t>
  </si>
  <si>
    <t xml:space="preserve">IS, taux réduit pour un chiffre d'affaires ≤ 3 milliards FCFA (CAC compris)</t>
  </si>
  <si>
    <t xml:space="preserve">2025-2026</t>
  </si>
  <si>
    <t xml:space="preserve">Fiche DGI : « ... et de 25% pour les contribuables réalisant un chiffre d'affaires égal ou inférieur à 3 milliards ». Avec 10 % de CAC, on obtient 27,5 %, confirmé par PwC (« smaller companies that meet statutory criteria pay 27.5% ») et par cga3s.com. Seuil : 3 000 000 000 FCFA, soit environ 4 573 471 EUR. D'anciennes pages du MINFI (35 %) et de Wikipédia (28 %) sont dépassées.</t>
  </si>
  <si>
    <t xml:space="preserve">is_acompte_minimum_perception</t>
  </si>
  <si>
    <t xml:space="preserve">Acompte mensuel d'IS / minimum de perception, régime du réel (CAC compris)</t>
  </si>
  <si>
    <t xml:space="preserve">% du CA mensuel</t>
  </si>
  <si>
    <t xml:space="preserve">2025-2026 (CGI art. 21)</t>
  </si>
  <si>
    <t xml:space="preserve">medium</t>
  </si>
  <si>
    <t xml:space="preserve">DGI Cameroun : Fiche technique IS ; LeFisk (commentaire de la fiche DGI)</t>
  </si>
  <si>
    <t xml:space="preserve">Fiche DGI : « les acomptes mensuels d'IS sont calculés par application du taux de 2% sur le chiffre d'affaires mensuel des entreprises du régime du réel, majoré des CAC (article 21 du CGI) », soit 2,2 %. LeFisk (https://lefisk.cm/blog/impot-sur-les-societes-cameroun-fiche-dgi-taux-acomptes-pdf) précise que le minimum de perception de 2,2 % du CA reste dû même en cas de perte. Wikipédia (Fiscalité du Cameroun) donne 5,5 % CAC compris pour le régime simplifié. Le paiement se fait au plus tard le 15 du mois suivant.</t>
  </si>
  <si>
    <t xml:space="preserve">seuil_regime_reel</t>
  </si>
  <si>
    <t xml:space="preserve">Seuil de chiffre d'affaires HT au-delà duquel le régime du réel s'applique</t>
  </si>
  <si>
    <t xml:space="preserve">LeFisk : Fiscalité, TVA (guide DGI)</t>
  </si>
  <si>
    <t xml:space="preserve">https://lefisk.cm/fiscalite/tva</t>
  </si>
  <si>
    <t xml:space="preserve">« toute entreprise dont le CA annuel dépasse 50 millions FCFA (régime réel) ». franco.wiki (Fiscalité du Cameroun) indique le même seuil, applicable de plein droit aux professions libérales. Cela représente environ 76 224 EUR. Le régime du réel entraîne l'assujettissement à la TVA.</t>
  </si>
  <si>
    <t xml:space="preserve">tva_taux_general</t>
  </si>
  <si>
    <t xml:space="preserve">TVA, taux général (17,5 % + CAC de 10 %)</t>
  </si>
  <si>
    <t xml:space="preserve">DGI Cameroun : Fiche TVA</t>
  </si>
  <si>
    <t xml:space="preserve">Fiche DGI : « Taux général : 19,25 % (soit un taux de 17,5 % majoré des centimes additionnels communaux de 10 %). Taux zéro : 0 % (applicable aux exportations) ». PwC confirme 19,25 %. Commerce électronique : la LF 2020 (art. 127) soumet à la TVA de 19,25 % les ventes de biens et services réalisées via des plateformes nationales ou étrangères, ainsi que les commissions des opérateurs de plateformes (Financial Afrik, 23/09/2020). La TVA à l'import se calcule au même taux.</t>
  </si>
  <si>
    <t xml:space="preserve">patente_cime</t>
  </si>
  <si>
    <t xml:space="preserve">Patente, moyennes entreprises (CIME) : taux sur le CA de l'exercice précédent</t>
  </si>
  <si>
    <t xml:space="preserve">% du CA</t>
  </si>
  <si>
    <t xml:space="preserve">2017 (barème non reconfirmé pour 2025-2026)</t>
  </si>
  <si>
    <t xml:space="preserve">Deloitte Avocats : Cameroun, brèves juridiques et fiscales 1er trimestre 2017</t>
  </si>
  <si>
    <t xml:space="preserve">Deloitte : 0,283 % du CA du dernier exercice clos pour les moyennes entreprises, avec un minimum de 141 500 FCFA (≈ 215,7 EUR) et un maximum de 4 500 000 FCFA (≈ 6 860 EUR). Le formulaire officiel de la DGI (https://www.impots.cm/uploads/I-PL-TVA-IR.pdf) indique « Taux PATENTE : CDI = 0,494% ; CIME = 0,283% ; DGE = 0,159% ». La patente totale ajoute la taxe de développement local, les CAC et la redevance audiovisuelle.</t>
  </si>
  <si>
    <t xml:space="preserve">patente_dge_cdi</t>
  </si>
  <si>
    <t xml:space="preserve">Patente : fourchette des taux DGE (grandes entreprises) et CDI (petites entreprises)</t>
  </si>
  <si>
    <t xml:space="preserve">2017-2025</t>
  </si>
  <si>
    <t xml:space="preserve">Formulaire de déclaration DGI (I-PL-TVA-IR)</t>
  </si>
  <si>
    <t xml:space="preserve">https://www.impots.cm/uploads/I-PL-TVA-IR.pdf</t>
  </si>
  <si>
    <t xml:space="preserve">DGE : 0,159 %, avec un minimum de 5 M FCFA et un maximum de 2,5 Mds FCFA selon des portails commerciaux secondaires (Lloyds Bank Trade, Bank of Scotland Trade : https://www.lloydsbanktrade.com/en/market-potential/cameroon/taxes). CDI : 0,494 %, entre 50 000 et 140 000 FCFA (Deloitte 2017). Les mêmes portails indiquent que les entreprises nouvellement créées sont exonérées de patente la première année d'activité.</t>
  </si>
  <si>
    <t xml:space="preserve">ircm_dividendes_droit_commun</t>
  </si>
  <si>
    <t xml:space="preserve">IRCM (retenue sur dividendes), taux de droit commun CAC compris, résidents et non-résidents</t>
  </si>
  <si>
    <t xml:space="preserve">Déc. 2025</t>
  </si>
  <si>
    <t xml:space="preserve">PwC Worldwide Tax Summaries : Cameroon, Withholding taxes</t>
  </si>
  <si>
    <t xml:space="preserve">https://taxsummaries.pwc.com/republic-of-cameroon/corporate/withholding-taxes</t>
  </si>
  <si>
    <t xml:space="preserve">PwC : « total WHT of 16.5% applies to dividends paid to both Cameroon residents and non-residents », soit 15 % + 10 % de CAC. Le taux peut être réduit par une convention. Pour une mère française, la convention de 1976 plafonne la retenue à 15 % (voir l'item conv_fr_cm_dividendes).</t>
  </si>
  <si>
    <t xml:space="preserve">ircm_dividendes_pme</t>
  </si>
  <si>
    <t xml:space="preserve">IRCM sur les dividendes distribués par les PME (LF 2025, art. 70 bis CGI), hors CAC</t>
  </si>
  <si>
    <t xml:space="preserve">Depuis le 1/1/2025 (loi n° 2024/013 du 23/12/2024)</t>
  </si>
  <si>
    <t xml:space="preserve">MINFI : Exposé des mesures fiscales, lancement du budget 2025</t>
  </si>
  <si>
    <t xml:space="preserve">Le tableau du MINFI indique « IRCM sur les dividendes des PME 15% → 10%, Article 70 bis du CGI ». Selon Cameroon Tribune (interview), le taux de 10 % s'entend hors CAC, et la charge globale sur les dividendes des PME passe de 39,46 % à 35,48 %. Afrique Sur 7 situe le seuil à un CA ≤ 3 Mds FCFA, mais le texte officiel n'a pas été vu pour ce point. Le taux reste de 15 % (16,5 % CAC compris) pour les grandes entreprises.</t>
  </si>
  <si>
    <t xml:space="preserve">ircm_interets</t>
  </si>
  <si>
    <t xml:space="preserve">Retenue à la source sur les intérêts d'emprunts étrangers (IRCM, CAC compris)</t>
  </si>
  <si>
    <t xml:space="preserve">PwC : « Interest from foreign loans is subject to 16.5% WHT ». Ce taux s'appliquerait à un prêt d'associé consenti par la SAS française à la filiale camerounaise. Le plafond prévu par la convention franco-camerounaise pour les intérêts n'a pas pu être confirmé (voir les lacunes).</t>
  </si>
  <si>
    <t xml:space="preserve">tsr_non_residents</t>
  </si>
  <si>
    <t xml:space="preserve">Taxe Spéciale sur le Revenu (TSR) : retenue sur prestations et redevances payées à des non-résidents</t>
  </si>
  <si>
    <t xml:space="preserve">% du montant brut</t>
  </si>
  <si>
    <t xml:space="preserve">MINFI : Régime fiscal des marchés publics</t>
  </si>
  <si>
    <t xml:space="preserve">MINFI : la TSR est « à la charge de l'entreprise n'ayant pas un domicile fiscal au Cameroun, mais qui réalise des prestations diverses. Elle est retenue à la source », au taux de « 15% sur le montant brut des redevances et rémunérations servies, y compris la TSR elle-même ». PwC : « Royalties paid to non-residents are subject to a 15% WHT (the 10% surcharge is not applicable) ». Pour une entreprise française, ce taux est ramené à 7,5 % sur l'assistance technique, financière et comptable (voir l'item conv_fr_cm_assistance_technique).</t>
  </si>
  <si>
    <t xml:space="preserve">conv_fr_cm_assistance_technique</t>
  </si>
  <si>
    <t xml:space="preserve">Convention France-Cameroun : plafond de retenue sur études et assistance technique, financière ou comptable (frais de management)</t>
  </si>
  <si>
    <t xml:space="preserve">Avenant du 28/10/1999, en vigueur le 1/1/2003, applicable aux paiements depuis le 1/1/1998</t>
  </si>
  <si>
    <t xml:space="preserve">Assemblée nationale : rapport n° 35 (12e législature) sur l'avenant à la convention fiscale franco-camerounaise</t>
  </si>
  <si>
    <t xml:space="preserve">« L'Etat de la source peut ainsi à nouveau imposer les rémunérations pour études, assistance technique, financière ou comptable, mais à un taux au plus égal à 7,5 % du montant brut de ces rémunérations ». La France accorde un crédit d'impôt dans cette limite. Le BOFiP (https://bofip.impots.gouv.fr/node/320966) précise l'application aux montants payés depuis le 1/1/1998 et l'entrée en vigueur au 1/1/2003. Les autres prestations restent à 15 % (droit commun TSR).</t>
  </si>
  <si>
    <t xml:space="preserve">conv_fr_cm_dividendes</t>
  </si>
  <si>
    <t xml:space="preserve">Convention France-Cameroun du 21/10/1976 : plafond de retenue sur les dividendes</t>
  </si>
  <si>
    <t xml:space="preserve">Convention en vigueur depuis le 19/07/1978</t>
  </si>
  <si>
    <t xml:space="preserve">Sénat : rapport n° 37 (1995-1996) sur l'avenant à la convention fiscale du 21 octobre 1976</t>
  </si>
  <si>
    <t xml:space="preserve">« le taux de l'impôt ne peut excéder 15 % du montant brut des dividendes ». Ce plafond est inférieur au taux interne de 16,5 %. Pour les dividendes distribués par un établissement stable, la retenue est limitée à 15 % au prorata du CA de l'établissement stable rapporté à celui de la société. Texte officiel : https://www.impots.gouv.fr/sites/default/files/media/10_conventions/cameroun/convention-avec-le-cameroun-modifiee-par-la-cml.pdf</t>
  </si>
  <si>
    <t xml:space="preserve">conv_fr_cm_redevances</t>
  </si>
  <si>
    <t xml:space="preserve">Convention France-Cameroun : plafond de retenue sur les redevances (marques, licences, logiciels)</t>
  </si>
  <si>
    <t xml:space="preserve">1976, modifiée en 1994 et 1999</t>
  </si>
  <si>
    <t xml:space="preserve">Les redevances sont imposables dans l'État de résidence et dans l'État de la source, avec un prélèvement limité à 15 % du montant brut dans l'État de la source. L'avenant de 1994 a modifié l'article 20 (redevances) pour en retirer l'assistance technique, désormais à 7,5 % depuis l'avenant de 1999.</t>
  </si>
  <si>
    <t xml:space="preserve">plafond_frais_siege</t>
  </si>
  <si>
    <t xml:space="preserve">Plafond de déductibilité des frais de siège et d'assistance technique payés à une société liée (mère française)</t>
  </si>
  <si>
    <t xml:space="preserve">% du bénéfice imposable avant déduction de ces frais</t>
  </si>
  <si>
    <t xml:space="preserve">CGI 2024 (reconduit en 2025-2026)</t>
  </si>
  <si>
    <t xml:space="preserve">DGI Cameroun : Code Général des Impôts 2024 (version française)</t>
  </si>
  <si>
    <t xml:space="preserve">Les frais de siège et les rémunérations d'études ou d'assistance technique, financière ou comptable versés à une entreprise qui participe à la gestion ou au capital sont déductibles dans la limite de 2,5 % du bénéfice imposable avant leur déduction, sans seuil minimal de participation (circulaire LF 2020, droit-afrique.com). En cas de déficit, le plafond se calcule sur le dernier exercice bénéficiaire non prescrit. La LF 2024 a assoupli le régime pour les entreprises déficitaires et nouvelles (PwC), sous des modalités non vérifiées. L'exposé des motifs de la LF 2026 aligne les BNC sur ce plafond. Il n'y a pas de plafond exprimé en % du CA, contrairement à l'hypothèse de départ.</t>
  </si>
  <si>
    <t xml:space="preserve">plafond_commissions_achats_etranger</t>
  </si>
  <si>
    <t xml:space="preserve">Plafond de déductibilité des commissions et courtages sur achats de marchandises à l'étranger</t>
  </si>
  <si>
    <t xml:space="preserve">% du montant des achats</t>
  </si>
  <si>
    <t xml:space="preserve">LF 2025 (5 % en 2024)</t>
  </si>
  <si>
    <t xml:space="preserve">Deloitte Avocats : Cameroun, principales mesures de la loi de finances pour 2025</t>
  </si>
  <si>
    <t xml:space="preserve">https://blog.avocats.deloitte.fr/cameroun-les-principales-mesures-importantes-de-la-loi-de-finances-pour-2025/</t>
  </si>
  <si>
    <t xml:space="preserve">Ces commissions sont désormais déductibles dans la limite de 1 % du montant des achats, contre 5 % en 2024. Cela concerne les achats de mobilier, d'équipements de studio ou de sécurité en Europe s'ils passent par une centrale d'achat facturant une commission. La LF 2026 (Deloitte) interdit aussi les achats auprès de fournisseurs étrangers sans déclaration d'importation dédouanée.</t>
  </si>
  <si>
    <t xml:space="preserve">sep_numerique_non_residents</t>
  </si>
  <si>
    <t xml:space="preserve">Taxation des non-résidents du numérique à présence économique significative (LF 2026) : taux effectif sur le CA brut</t>
  </si>
  <si>
    <t xml:space="preserve">% du CA brut réalisé au Cameroun</t>
  </si>
  <si>
    <t xml:space="preserve">Depuis le 1/1/2026 (LF 2026, art. 5 bis et ter CGI)</t>
  </si>
  <si>
    <t xml:space="preserve">Digital Business Africa : comment le Cameroun taxe désormais les entreprises du numérique opérant depuis l'étranger</t>
  </si>
  <si>
    <t xml:space="preserve">https://www.digitalbusiness.africa/loi-de-finances-2026-comment-le-cameroun-encadre-et-taxe-desormais-les-entreprises-du-numerique-operant-depuis-letranger/</t>
  </si>
  <si>
    <t xml:space="preserve">Le taux de 3 % correspond à un bénéfice forfaitaire de 10 % du CA taxé à 30 % ; PwC parle d'un « digital permanent establishment ». Le seuil de présence est franchi au-delà de 1 000 utilisateurs ou clients, ou d'une rémunération annuelle de 50 M FCFA (≈ 76 224 EUR) selon plusieurs sources, ou de 75 M FCFA (≈ 114 337 EUR) selon Deloitte : le texte officiel reste à vérifier. La déclaration et le paiement sont mensuels, au plus tard le 15. Cela concerne la SAS française si elle facture directement des utilisateurs camerounais sans passer par la filiale.</t>
  </si>
  <si>
    <t xml:space="preserve">tec_cemac_categories</t>
  </si>
  <si>
    <t xml:space="preserve">Tarif extérieur commun CEMAC (structure historique) : droits de douane par catégorie</t>
  </si>
  <si>
    <t xml:space="preserve">% de la valeur CAF</t>
  </si>
  <si>
    <t xml:space="preserve">Jusqu'au 31/12/2025</t>
  </si>
  <si>
    <t xml:space="preserve">US International Trade Administration : Chad Country Commercial Guide, Import tariffs (CEMAC)</t>
  </si>
  <si>
    <t xml:space="preserve">https://trade.gov/country-commercial-guides/chad-import-tariffs</t>
  </si>
  <si>
    <t xml:space="preserve">Les quatre catégories : 5 % pour les produits de première nécessité, 10 % pour les matières premières et biens d'équipement, 20 % pour les biens intermédiaires, 30 % pour les biens de consommation courante. L'OMC mentionne en plus une bande à 0 %. Cette grille a été remplacée au Cameroun le 1/1/2026 par le TEC CEEAC-CEMAC (voir l'item suivant), mais les simulateurs privés (LeFisk, ALC) l'utilisent encore.</t>
  </si>
  <si>
    <t xml:space="preserve">tec_ceeac_2026</t>
  </si>
  <si>
    <t xml:space="preserve">Nouveau TEC harmonisé CEEAC-CEMAC appliqué au Cameroun : bornes des droits de douane</t>
  </si>
  <si>
    <t xml:space="preserve">% de la valeur en douane</t>
  </si>
  <si>
    <t xml:space="preserve">Depuis le 1/1/2026</t>
  </si>
  <si>
    <t xml:space="preserve">Investir au Cameroun : le Tarif extérieur commun CEEAC s'applique au Cameroun depuis le 1er janvier 2026</t>
  </si>
  <si>
    <t xml:space="preserve">https://www.investiraucameroun.com/gestion-publique/1201-22954-douanes/tec-ceeac-le-tarif-exterieur-commun-s-applique-au-cameroun-depuis-le-1er-janvier-2026</t>
  </si>
  <si>
    <t xml:space="preserve">Le TEC a été approuvé par les 11 États de la CEEAC le 18/10/2024, avec des droits de 0 à 40 % selon la position SH (CNCC : https://www.cncc.cm/fr/article/le-tarif-exterieur-commun-tec-de-la-ceeac-s-applique-au-cameroun-1031). Exemples : 0 % pour les aéronefs et les semences, 5 % pour les pièces d'équipement médical, 20 % pour les meubles et jouets, 40 % pour le tabac, le cacao en poudre, les eaux minérales et les tissus. Deloitte signale que la mise en œuvre effective est encore en cours. La TVA et les accises restent nationales.</t>
  </si>
  <si>
    <t xml:space="preserve">douane_ordinateurs</t>
  </si>
  <si>
    <t xml:space="preserve">Droit de douane, ordinateurs (SH 8471)</t>
  </si>
  <si>
    <t xml:space="preserve">Guide CEMAC 2024 (avant le TEC 2026)</t>
  </si>
  <si>
    <t xml:space="preserve">low</t>
  </si>
  <si>
    <t xml:space="preserve">LeFisk : Tarif douane Cameroun, taux par produit et guide CEMAC</t>
  </si>
  <si>
    <t xml:space="preserve">Taux cités : SH 8471 ordinateurs 10 %, smartphones (8517.11) 10 %, réfrigérateurs et climatiseurs 30 %. Le tableau se réfère à un « guide CEMAC 2024 » et n'a pas été recoupé avec le TEC CEEAC 2026 ; à confirmer sur simpa.guichetunique.cm. S'y ajoutent la TVA à l'import (19,25 %), la TCI, la CCI et la redevance informatique.</t>
  </si>
  <si>
    <t xml:space="preserve">douane_meubles</t>
  </si>
  <si>
    <t xml:space="preserve">Droit de douane, meubles (SH 94) dans le TEC CEEAC-CEMAC</t>
  </si>
  <si>
    <t xml:space="preserve">2026</t>
  </si>
  <si>
    <t xml:space="preserve">Ecofin Agency : Cameroon adopts CEEAC-CEMAC common external tariff starting Jan. 1, 2026</t>
  </si>
  <si>
    <t xml:space="preserve">Ecofin place « toys, musical instruments, weapons, ammunition and furniture » à 20 %. Le rapport UNECA de 2019 sur le projet de TEC indiquait déjà que « furniture has been generally tariffed at 20% ». Le taux par position SH (9401/9403) n'a pas été vérifié dans la nomenclature officielle. Ce taux concerne le mobilier haut de gamme du Studio Premium importé d'Europe.</t>
  </si>
  <si>
    <t xml:space="preserve">douane_vehicules_tourisme</t>
  </si>
  <si>
    <t xml:space="preserve">Droit de douane, véhicules de tourisme (SH 8703) : fourchette selon les sources</t>
  </si>
  <si>
    <t xml:space="preserve">LeFisk : Simulateur douane automobile 2026</t>
  </si>
  <si>
    <t xml:space="preserve">https://lefisk.cm/outils/sim-douane-auto</t>
  </si>
  <si>
    <t xml:space="preserve">Les sources divergent. Le simulateur LeFisk applique 30 % de droit de douane, plus une « taxe complémentaire » de 25 % du droit, 19,25 % de TVA, 1 % de DTS et une redevance informatique forfaitaire de 50 000 FCFA. Pour une CAF de 10 M FCFA sans abattement, cela donne environ 6,55 M FCFA de taxes (≈ 65 % de la CAF). La CNCC et Ecofin (projet de TEC CEEAC) placent les véhicules de tourisme entre 5 et 20 %. Frais de port et de transitaire à Douala : 300 000 à 600 000 FCFA selon LeFisk. Il faut une simulation officielle (DGD/SIMPA) par code SH.</t>
  </si>
  <si>
    <t xml:space="preserve">tci_cemac</t>
  </si>
  <si>
    <t xml:space="preserve">Taxe Communautaire d'Intégration (TCI), sur les importations hors CEMAC</t>
  </si>
  <si>
    <t xml:space="preserve">LeFisk : Simulateur frais de douane Cameroun 2026</t>
  </si>
  <si>
    <t xml:space="preserve">La TCI de 1 % s'applique aux marchandises originaires de pays tiers (dont l'UE) et en exonère les marchandises intra-CEMAC. Elle est collectée par chaque État et reversée à la Commission CEMAC (Ecomatin, Gabon Review). LeFisk cite aussi une redevance FEICOM de 0,5 % et des CAC de 10 % sur le droit de douane, non recoupés par une source officielle.</t>
  </si>
  <si>
    <t xml:space="preserve">cci_ceeac</t>
  </si>
  <si>
    <t xml:space="preserve">Contribution Communautaire d'Intégration (CCI), sur les importations hors communauté</t>
  </si>
  <si>
    <t xml:space="preserve">2011 (non reconfirmé en 2026)</t>
  </si>
  <si>
    <t xml:space="preserve">FMI : séminaire sur la mobilisation des recettes (présentation Ngakosso, 2011)</t>
  </si>
  <si>
    <t xml:space="preserve">Le tableau du FMI indique « Contribution communautaire d'intégration CCI VD 0,4% » (VD = valeur en douane). Le simulateur LeFisk et des guides de transitaires citent aussi 0,4 % sur la valeur CAF des marchandises tierces. Aucun texte officiel 2026 n'a été trouvé.</t>
  </si>
  <si>
    <t xml:space="preserve">redevance_informatique_douane</t>
  </si>
  <si>
    <t xml:space="preserve">Redevance informatique douanière, à l'import</t>
  </si>
  <si>
    <t xml:space="preserve">% de la valeur imposable</t>
  </si>
  <si>
    <t xml:space="preserve">Depuis la LF 2023 (0,45 % auparavant)</t>
  </si>
  <si>
    <t xml:space="preserve">EcoMatin : Budget 2023, les principales innovations douanières de la loi de finances</t>
  </si>
  <si>
    <t xml:space="preserve">Texte cité : « Le taux de la redevance de service dite "redevance informatique" est fixé à 1% de la valeur imposable des marchandises. Ce prélèvement est plafonné à 15 000 FCFA par déclaration à l'exportation ». Le produit est affecté à 75 % au budget de l'État et à 25 % au développement des TIC et à la modernisation douanière. Certains guides (0,5 %) ou simulateurs (forfait de 50 000 FCFA pour les véhicules) divergent.</t>
  </si>
  <si>
    <t xml:space="preserve">precompte_achats_import</t>
  </si>
  <si>
    <t xml:space="preserve">Précompte sur achats perçu à l'importation : taux selon le régime de l'importateur</t>
  </si>
  <si>
    <t xml:space="preserve">% de la valeur des achats/importations (hors CAC)</t>
  </si>
  <si>
    <t xml:space="preserve">2015-2017 (non reconfirmé en 2026)</t>
  </si>
  <si>
    <t xml:space="preserve">Mémoire Online : Amélioration de la démarche d'audit fiscal (cabinet Fiscalia International)</t>
  </si>
  <si>
    <t xml:space="preserve">https://www.memoireonline.com/01/17/9560/m_Amelioration-de-la-demarche-daudit-fiscal-au-sein-du-cabinet-Fiscalia-international29.html</t>
  </si>
  <si>
    <t xml:space="preserve">Les taux sont de 2 % pour le régime du réel et de 5 % pour le régime simplifié, et ils s'appliquent aussi aux importations des commerçants. La LF 2015 (https://minfi.gov.cm/wp-content/uploads/2011/01/loi-des-finances-2015.pdf) fixe 10 % pour tout contribuable absent du fichier d'un centre des impôts. Les CAC de 10 % s'ajoutent selon certaines sources. C'est un acompte imputable sur l'IS, pas un coût définitif. Une filiale au réel qui importe pour ses propres besoins peut en être exonérée selon le CGI : à vérifier.</t>
  </si>
  <si>
    <t xml:space="preserve">accise_vehicules_occasion_12_20</t>
  </si>
  <si>
    <t xml:space="preserve">Droit d'accises à l'import, véhicules d'occasion de plus de 12 (ou 13) à 20 ans, toutes catégories</t>
  </si>
  <si>
    <t xml:space="preserve">LF 2026 (loi n° 2025/012)</t>
  </si>
  <si>
    <t xml:space="preserve">Investir au Cameroun : Loi de Finances 2026, le Cameroun renchérit les droits d'accises sur l'importation des véhicules d'occasion</t>
  </si>
  <si>
    <t xml:space="preserve">https://www.investiraucameroun.com/gestion-publique/0512-22835-loi-de-finances-2026-le-cameroun-rencherit-les-droits-d-accises-sur-l-importation-des-vehicules-d-occasion</t>
  </si>
  <si>
    <t xml:space="preserve">Le taux de 12,5 % vise les véhicules de 12 à 20 ans (13 à 20 ans selon Camer.be, mars 2026), pour toutes les catégories : tourisme, utilitaires, bus, remorques. Auparavant, les véhicules de 0 à 15 ans étaient taxés à 12,5 % uniformément. Le projet de LF 2026 (EcoMatin) prévoyait 0 % pour les véhicules de tourisme de 0 à 12 ans, sans confirmation dans le texte final. Une ancienne règle liée à la cylindrée (2 500 cm³) n'a pas été reconfirmée. Il est conseillé d'acheter des véhicules utilitaires neufs ou récents.</t>
  </si>
  <si>
    <t xml:space="preserve">accise_vehicules_plus_20ans</t>
  </si>
  <si>
    <t xml:space="preserve">Droit d'accises à l'import, véhicules de plus de 20 ans</t>
  </si>
  <si>
    <t xml:space="preserve">LF 2026</t>
  </si>
  <si>
    <t xml:space="preserve">Investir au Cameroun : Loi de Finances 2026, droits d'accises sur les véhicules d'occasion</t>
  </si>
  <si>
    <t xml:space="preserve">Le taux est de 25 % au-delà de 20 ans. Camer.be, Cameroun24 et EcoMatin concordent. Ce droit d'accises s'ajoute au droit de douane et à la TVA.</t>
  </si>
  <si>
    <t xml:space="preserve">taxe_verification_vehicule_occasion</t>
  </si>
  <si>
    <t xml:space="preserve">Taxe de vérification à l'importation (CIVIC/SGS) par véhicule d'occasion, TVA comprise</t>
  </si>
  <si>
    <t xml:space="preserve">FCFA par véhicule</t>
  </si>
  <si>
    <t xml:space="preserve">Depuis le 1/7/2025</t>
  </si>
  <si>
    <t xml:space="preserve">EcoMatin : l'État instaure une nouvelle taxe à l'importation des véhicules d'occasion</t>
  </si>
  <si>
    <t xml:space="preserve">https://ecomatin.net/cameroun-letat-instaure-une-nouvelle-taxe-a-limportation-des-vehicules-doccasion</t>
  </si>
  <si>
    <t xml:space="preserve">Le montant de 29 813 FCFA TTC (≈ 45,45 EUR) couvre la vérification technique SGS et le contrôle d'identification (CIVIC), payés via le GUCE (art. 149 quinquies CGI). D'autres articles écrivent 29 814 FCFA. LeFisk cite le même montant.</t>
  </si>
  <si>
    <t xml:space="preserve">droits_mutation_terrain_urbain_non_bati</t>
  </si>
  <si>
    <t xml:space="preserve">Droits d'enregistrement sur l'achat d'un terrain urbain non bâti (et d'un immeuble rural bâti)</t>
  </si>
  <si>
    <t xml:space="preserve">% du prix</t>
  </si>
  <si>
    <t xml:space="preserve">CGI art. 543 (version 2022)</t>
  </si>
  <si>
    <t xml:space="preserve">Cameroon Business Connections : Fiscalité immobilière au Cameroun</t>
  </si>
  <si>
    <t xml:space="preserve">Barème : « Au taux super réduit de 1% : les partages... Au taux réduit de 2% : les actes et mutations d'immeubles ruraux non bâtis. Au taux moyen de 5% : les actes et mutations d'immeubles urbains non bâtis et ruraux bâtis. Au taux intermédiaire de 10% : les actes et mutations d'immeubles urbains bâtis ». La fiche DGI (https://impots.cm/sites/default/files/documents/FT%20imp%C3%B4ts%20et%20taxes%20du%20syst%C3%A8me%20fiscal%20Camerounais%202.pdf) liste des droits proportionnels de 1, 2, 5, 10 et 15 %. Ce taux de 5 % est celui d'un terrain nu acheté à Yaoundé pour y bâtir la maison mère. Des forums donnent 5 % en ville et 2 % en zone rurale.</t>
  </si>
  <si>
    <t xml:space="preserve">droits_mutation_immeuble_urbain_bati</t>
  </si>
  <si>
    <t xml:space="preserve">Droits d'enregistrement sur l'achat d'un immeuble urbain bâti (entrepôt ou bâtiment existant)</t>
  </si>
  <si>
    <t xml:space="preserve">CGI art. 543-b (version 2022)</t>
  </si>
  <si>
    <t xml:space="preserve">Le taux de 10 % s'applique aux actes et mutations d'immeubles urbains bâtis (renvoi à l'art. 543-b du CGI). Ce barème vaut pour les opérations de non-professionnels ; le régime des professionnels de l'immobilier n'a pas été vérifié. Selon l'arrêté MINFI n° 366 de 2013, un agrément au régime des incitations (loi 2013/004) exonérait de ces droits les terrains et immeubles nécessaires au programme. Ce régime a été réformé par l'ordonnance de 2025.</t>
  </si>
  <si>
    <t xml:space="preserve">conservation_fonciere_mutation</t>
  </si>
  <si>
    <t xml:space="preserve">Frais de conservation foncière : mutation du titre foncier (acquisition à titre onéreux)</t>
  </si>
  <si>
    <t xml:space="preserve">% du prix d'achat</t>
  </si>
  <si>
    <t xml:space="preserve">Juillet 2026</t>
  </si>
  <si>
    <t xml:space="preserve">allAfrica / Camer.be : Titre foncier au pays, le casse-tête des frais</t>
  </si>
  <si>
    <t xml:space="preserve">Frais cités : « Acquisition à titre onéreux : 2 % du prix d'achat », mutation 2 %, morcellement 2 %, hypothèque jusqu'à 1 %, ouverture de dossier 3 000 FCFA, radiations 3 000 FCFA. Redevance foncière : 5 FCFA/m² en zone urbaine (minimum 5 000 FCFA), jusqu'à 10 FCFA/m² (minimum 10 000 FCFA) dans certaines zones. En 2026, l'État a prévu de réduire de 50 % le coût du bornage. Les formulations sont parfois ambiguës : faire liquider par le notaire.</t>
  </si>
  <si>
    <t xml:space="preserve">emoluments_notaire_vente</t>
  </si>
  <si>
    <t xml:space="preserve">Émoluments du notaire pour une vente immobilière (Décret n° 95/038 du 28/02/1995) : barème dégressif</t>
  </si>
  <si>
    <t xml:space="preserve">% du prix (par tranche)</t>
  </si>
  <si>
    <t xml:space="preserve">Décret de 1995 (cité en 2018)</t>
  </si>
  <si>
    <t xml:space="preserve">Camer.be : La connaissance des émoluments et débours des notaires à l'occasion des ventes de terrains au Cameroun</t>
  </si>
  <si>
    <t xml:space="preserve">Tranches : 4 % de 1 à 3 M FCFA ; 3 % de 3 000 001 à 10 M ; 1,5 % de 10 000 001 à 25 M ; 0,75 % de 25 000 001 à 50 M ; 0,50 % au-delà de 50 M FCFA. Il faut y ajouter les débours (timbres, enregistrement). L'avis émane d'un cabinet d'avocats (Atangana Eteme Emeran, 2018). Une éventuelle modification du décret n'a pas été vérifiée.</t>
  </si>
  <si>
    <t xml:space="preserve">permis_de_batir_yaounde</t>
  </si>
  <si>
    <t xml:space="preserve">Permis de bâtir à Yaoundé : frais proportionnels au coût estimatif de la construction</t>
  </si>
  <si>
    <t xml:space="preserve">% du coût estimatif des travaux</t>
  </si>
  <si>
    <t xml:space="preserve">Fiche eRegulations (non datée)</t>
  </si>
  <si>
    <t xml:space="preserve">eRegulations Yaoundé : procédure de permis de bâtir</t>
  </si>
  <si>
    <t xml:space="preserve">La fiche eRegulations affiche une composante de 1 % du coût estimatif de la construction, à côté de frais de salubrité de 1 000 XAF. Le rattachement exact de ce 1 % (permis ou salubrité) est ambigu. Un forum expat.com confirme que « l'État récupère sa quote-part, soit 1% du coût de la construction ». Pièces à fournir : certificat d'urbanisme, certificat de propriété, plans, devis descriptif et estimatif, quittance CUY, timbre communal. Le barème officiel est à obtenir auprès de la Communauté Urbaine de Yaoundé.</t>
  </si>
  <si>
    <t xml:space="preserve">Taxe foncière annuelle sur les propriétés immobilières</t>
  </si>
  <si>
    <t xml:space="preserve">% de la valeur imposable par an</t>
  </si>
  <si>
    <t xml:space="preserve">Non daté (CGI art. 577-584)</t>
  </si>
  <si>
    <t xml:space="preserve">Camer.be : La connaissance de la taxe foncière au Cameroun</t>
  </si>
  <si>
    <t xml:space="preserve">« La taxe foncière est de 0,1% de la valeur imposable du bien immobilier ». Elle vise les immeubles bâtis ou non situés en agglomération dotée de services urbains, comme Yaoundé, et se paie au plus tard le 15 mars. Elle s'applique au terrain et au hub de la maison mère s'ils sont détenus en propre.</t>
  </si>
  <si>
    <t xml:space="preserve">capital_min_sarl</t>
  </si>
  <si>
    <t xml:space="preserve">Capital social minimum d'une SARL au Cameroun</t>
  </si>
  <si>
    <t xml:space="preserve">Loi n° 2016/014 du 14/12/2016</t>
  </si>
  <si>
    <t xml:space="preserve">OHADA.com : Création d'entreprises, le Cameroun simplifie les formalités de constitution des SARL</t>
  </si>
  <si>
    <t xml:space="preserve">https://www.ohada.com/actualite/3264/creation-dentreprises-le-cameroun-simplifie-les-formalites-de-constitution-des-sarl.html</t>
  </si>
  <si>
    <t xml:space="preserve">Art. 2 : « le capital social minimum d'une Société à Responsabilité Limitée est fixé à cent mille (100.000) FCFA », en parts d'au moins 5 000 FCFA (≈ 152 EUR au total). Le notaire est facultatif si la SARL est unipersonnelle ou si son capital est ≤ 1 000 000 FCFA. Les statuts sous seing privé sont alors authentifiés au CFCE (décret n° 2017/0877/PM).</t>
  </si>
  <si>
    <t xml:space="preserve">capital_min_sa</t>
  </si>
  <si>
    <t xml:space="preserve">Capital social minimum d'une Société Anonyme (Acte uniforme OHADA révisé 2014)</t>
  </si>
  <si>
    <t xml:space="preserve">AUSCGIE révisé 2014 (en vigueur depuis le 5/5/2014)</t>
  </si>
  <si>
    <t xml:space="preserve">Acte uniforme révisé relatif au droit des sociétés commerciales et du GIE (OHADA 2014)</t>
  </si>
  <si>
    <t xml:space="preserve">https://www.vie-publique.sn/documents/11025/acte-uniforme-revise-societes-commerciales-groupement-interet-economique-ohada-2014</t>
  </si>
  <si>
    <t xml:space="preserve">Le capital minimum est de 10 000 000 FCFA (≈ 15 245 EUR) pour la SA et de 1 000 000 FCFA pour la SARL dans l'Acte uniforme (ramené à 100 000 FCFA au Cameroun). La SAS, créée par la réforme de 2014, n'a pas de capital minimum légal (ohada.com, « Consécration de la SAS »). Une filiale en SAS ou en SARL est donc la forme la moins coûteuse.</t>
  </si>
  <si>
    <t xml:space="preserve">frais_cfce_creation_sarl</t>
  </si>
  <si>
    <t xml:space="preserve">Frais officiels de création d'une SARL au CFCE (hors notaire et hors capital)</t>
  </si>
  <si>
    <t xml:space="preserve">eRegulations Yaoundé : procédure de création d'entreprise (CFCE)</t>
  </si>
  <si>
    <t xml:space="preserve">https://yaounde.eregulations.org/procedure/185/140?l=fr</t>
  </si>
  <si>
    <t xml:space="preserve">Les sources divergent. Un guide fondé sur eRegulations donne environ 69 625 FCFA pour une SARLU, dont un timbre de 1 000 FCFA par feuille de statuts ; Kolonell 2026 parle d'environ 41 500 FCFA de frais officiels ; infospratiques.cm donne 30 000 FCFA de traitement CFCE, 25 000 FCFA d'authentification des statuts et 1 210 FCFA d'attestation. Une fiche eRegulations cite 20 000 XAF de RCCM et 13 125 XAF de droits fixes d'enregistrement. Notaire si capital &gt; 1 M FCFA : 150 000 à 400 000 FCFA pour une SARL et 500 000 à 1 500 000 FCFA pour une SA (LeFisk, non officiel). Délai officiel CFCE : 72 h ; en pratique 3 à 7 jours ouvrés. 25 % du capital au moins doit être libéré en banque. Soit environ 63 à 106 EUR.</t>
  </si>
  <si>
    <t xml:space="preserve">startup_is_reduit</t>
  </si>
  <si>
    <t xml:space="preserve">Régime start-up (CGI art. 124 ter) : IS réduit en phase d'exploitation (5 ans) après une incubation exonérée (5 ans max)</t>
  </si>
  <si>
    <t xml:space="preserve">Depuis la LF 2021 (étendu en douane par la LF 2026)</t>
  </si>
  <si>
    <t xml:space="preserve">LAF Consulting : Quels sont les avantages fiscaux concédés aux startups innovantes au Cameroun</t>
  </si>
  <si>
    <t xml:space="preserve">https://lafconsulting-sarl.com/quels-sont-les-avantages-fiscaux-concedes-aux-startups-innovantes-au-cameroun/</t>
  </si>
  <si>
    <t xml:space="preserve">Incubation : exonération de tous impôts, droits et taxes (hors cotisations sociales) pendant 5 ans au plus. Exploitation (5 ans) : IS à 15 %, abattement de 50 % sur l'acompte et le minimum de perception, exonération de patente et de certains droits d'enregistrement, crédit d'impôt de 30 % sur les dépenses de R&amp;D et d'innovation plafonné à 100 M FCFA. Cession en sortie d'incubation : 10 % sur la plus-value. La LF 2026 exonère de droits de douane les équipements des start-up du numérique (projet de LF 2026, dgb.cm). L'éligibilité d'une marketplace à capitaux étrangers n'est pas vérifiée ; il faut un agrément.</t>
  </si>
  <si>
    <t xml:space="preserve">incitations_ordonnance_2025</t>
  </si>
  <si>
    <t xml:space="preserve">Régime des incitations à l'investissement (loi 2013/004 modifiée par l'ordonnance n° 2025/002, ratifiée par la loi 2025/015) : seuils de taille de projet</t>
  </si>
  <si>
    <t xml:space="preserve">FCFA (seuils : &lt; 1 Md, 1 à 5 Mds, &gt; 5 Mds)</t>
  </si>
  <si>
    <t xml:space="preserve">Ordonnance du 18/07/2025, ratifiée le 17/12/2025</t>
  </si>
  <si>
    <t xml:space="preserve">Investir au Cameroun : Emplois, made in Cameroun… de nouveaux critères imposés aux investisseurs pour bénéficier des cadeaux fiscaux</t>
  </si>
  <si>
    <t xml:space="preserve">https://www.investiraucameroun.com/economie/2107-22265-emplois-made-in-cameroun--de-nouveaux-criteres-imposes-aux-investisseurs-pour-beneficier-des-cadeaux-fiscaux</t>
  </si>
  <si>
    <t xml:space="preserve">L'ordonnance remplace les exonérations de 5 à 10 ans du régime de 2013 par un crédit d'impôt sur l'IS. Les avantages varient selon le montant du projet (&lt; 1 Md, 1 à 5 Mds, &gt; 5 Mds FCFA, soit ≈ 1,52 M et 7,62 M EUR pour les seuils) et sont réservés aux secteurs prioritaires. Il faut remplir au moins deux critères (emplois, transformation locale…). Texte : https://legecam.cm/wp-content/uploads/2025/08/ordonnance_n_2025_002_du_18_07_2025.pdf ; ratification : loi n° 2025/015 (La Base Lextenso). Sous l'ancien régime, la phase d'installation (≤ 5 ans) exonérait des droits de mutation sur les terrains et des droits sur les baux professionnels (arrêté MINFI n° 366/2013). L'éligibilité d'un hub logistique ou studio n'est pas vérifiée.</t>
  </si>
  <si>
    <t xml:space="preserve">fisc_fr</t>
  </si>
  <si>
    <t xml:space="preserve">creation_frais_greffe_rcs</t>
  </si>
  <si>
    <t xml:space="preserve">Frais d'immatriculation au RCS d'une SAS (greffe, via guichet unique INPI)</t>
  </si>
  <si>
    <t xml:space="preserve">EUR TTC</t>
  </si>
  <si>
    <t xml:space="preserve">Coût création SAS (Keobiz) ; Frais de greffe (LegalPlace)</t>
  </si>
  <si>
    <t xml:space="preserve">https://www.keobiz.fr/fiches-pratiques/creation-dentreprise/cout-creation-sas/</t>
  </si>
  <si>
    <t xml:space="preserve">Keobiz : « frais d'immatriculation de 33,83 € pour une activité commerciale ». Un guide 2026 (LegalPlace, https://www.legalplace.fr/guides/frais-de-greffe/) indique 35,59 € TTC pour SAS/SARL/SASU/EURL, barème qu'il rattache à un arrêté du 26 février 2026. 33,83 € semble être l'ancien tarif, 35,59 € le tarif 2026. Formalité déposée sur le guichet unique INPI depuis le 1er janvier 2023. Conversion : 35,59 € ≈ 23 345 FCFA.</t>
  </si>
  <si>
    <t xml:space="preserve">creation_declaration_rbe</t>
  </si>
  <si>
    <t xml:space="preserve">Déclaration des bénéficiaires effectifs (RBE) à la création</t>
  </si>
  <si>
    <t xml:space="preserve">Coût création SAS (independant.io)</t>
  </si>
  <si>
    <t xml:space="preserve">https://independant.io/cout-creation-sas/</t>
  </si>
  <si>
    <t xml:space="preserve">independant.io donne 20,34 € pour la DBE d'une SAS en 2026 ; Keobiz indique encore 19,33 € (ancien tarif). Un autre tableau cite environ 21,41 €, mais une seule source le donne. Retenir 20,34 € pour 2026.</t>
  </si>
  <si>
    <t xml:space="preserve">creation_annonce_legale</t>
  </si>
  <si>
    <t xml:space="preserve">Annonce légale de constitution d'une SAS (forfait métropole)</t>
  </si>
  <si>
    <t xml:space="preserve">EUR HT</t>
  </si>
  <si>
    <t xml:space="preserve">Tarification des annonces légales en 2026 (Bpifrance Création)</t>
  </si>
  <si>
    <t xml:space="preserve">https://bpifrance-creation.fr/entrepreneur/actualites/tarification-annonces-legales-2026</t>
  </si>
  <si>
    <t xml:space="preserve">Forfait fixé par l'arrêté du 19 novembre 2025, en vigueur au 1er janvier 2026 : 199 € HT pour une SAS en métropole (233 € HT à La Réunion et à Mayotte), soit 238,80 € TTC. Pour comparaison, le forfait SASU est de 142 € HT (independant.io). Plusieurs sources concordent (Keobiz, Tide, les-experts-comptables.fr). Conversion : 199 € HT ≈ 130 535 FCFA.</t>
  </si>
  <si>
    <t xml:space="preserve">creation_total_frais_obligatoires</t>
  </si>
  <si>
    <t xml:space="preserve">Total des frais réglementés de création d'une SAS (greffe + RBE + annonce légale)</t>
  </si>
  <si>
    <t xml:space="preserve">Coût création SAS (Tide)</t>
  </si>
  <si>
    <t xml:space="preserve">https://www.tide.co/fr-FR/blog/creation-entreprise/cout-creation-sas/</t>
  </si>
  <si>
    <t xml:space="preserve">Tide : 252,16 € avec l'annonce légale HT, ou 291,96 € avec la TVA de l'annonce. Keobiz arrive à environ 291 €, Swim.legal à environ 250 €. Le capital social (1 € minimum) n'est pas un coût. Hors honoraires, domiciliation et dépôt de capital.</t>
  </si>
  <si>
    <t xml:space="preserve">creation_honoraires_juridiques</t>
  </si>
  <si>
    <t xml:space="preserve">Honoraires de rédaction des statuts et d'accompagnement à la création</t>
  </si>
  <si>
    <t xml:space="preserve">Coût création SAS (Keobiz)</t>
  </si>
  <si>
    <t xml:space="preserve">https://www.keobiz.fr/le-mag/cout-creation-sas/</t>
  </si>
  <si>
    <t xml:space="preserve">Keobiz : 200 à 500 € via une legaltech, 1 000 à 2 500 € avec un avocat ou un expert-comptable. Tide donne 400 à 650 € en ligne et 500 à 2 800 € avec un professionnel. Postes non réglementés. Pour une SAS mère d'un groupe international, il faut viser le haut de la fourchette : clauses d'agrément, pacte d'associés, gouvernance des filiales.</t>
  </si>
  <si>
    <t xml:space="preserve">Impôt sur les sociétés : taux normal</t>
  </si>
  <si>
    <t xml:space="preserve">2026 (loi de finances 2026 promulguée le 19/02/2026)</t>
  </si>
  <si>
    <t xml:space="preserve">Loi de finances 2026 : 8 mesures à connaître (Extencia)</t>
  </si>
  <si>
    <t xml:space="preserve">« Pas de mouvement sur le taux normal d'impôt sur les sociétés, maintenu à 25 % ». Loi de finances 2026 promulguée le 19 février 2026 (Extencia et Cegid). La contribution exceptionnelle sur les bénéfices ne vise que les très grandes entreprises (CA ≥ 1 Md€) et ne concerne donc pas ALQAVYA.</t>
  </si>
  <si>
    <t xml:space="preserve">Impôt sur les sociétés : taux réduit PME de 15 % et plafond de bénéfice</t>
  </si>
  <si>
    <t xml:space="preserve">EUR de bénéfice imposable / 12 mois (taux 15 %)</t>
  </si>
  <si>
    <t xml:space="preserve">Loi de finances 2026 : 8 mesures à connaître (Extencia) ; Impôt sur les Sociétés 2026 (Cyril Jarnias)</t>
  </si>
  <si>
    <t xml:space="preserve">Taux de 15 % sur les 42 500 premiers euros de bénéfice (article 219-I-b du CGI, plafond issu de la LF 2023), puis 25 % au-delà, soit une économie maximale de 4 250 €/an. L'amendement du PLF 2026 qui portait le plafond à 100 000 € (n° I-2531 / CF1086) a été adopté en première lecture à l'Assemblée, mais n'a pas été retenu dans la loi définitive (EXE Conseil, Extencia). Conversion : 42 500 € ≈ 27 878 173 FCFA.</t>
  </si>
  <si>
    <t xml:space="preserve">is_conditions_pme</t>
  </si>
  <si>
    <t xml:space="preserve">Conditions d'accès au taux réduit d'IS (PME)</t>
  </si>
  <si>
    <t xml:space="preserve">EUR de CA HT maximum (plus 75 % du capital détenu par des personnes physiques)</t>
  </si>
  <si>
    <t xml:space="preserve">Impôt sur les Sociétés 2026 — Taux IS, Calcul, PME (Advizexperts)</t>
  </si>
  <si>
    <t xml:space="preserve">https://advizexperts.fr/baremes-seuils/impot-societes-is/</t>
  </si>
  <si>
    <t xml:space="preserve">Conditions cumulatives : CA HT ≤ 10 M€ (ramené à 12 mois), capital entièrement libéré, et capital détenu à 75 % au moins par des personnes physiques ou par des sociétés elles-mêmes détenues à 75 % par des personnes physiques (Cyril Jarnias, Swim, Finalib). Pour ALQAVYA : la SAS mère doit rester détenue à au moins 75 % par les fondateurs, directement ou via une holding personnelle. Une entrée de fonds d'investissement au-delà de 25 % ferait perdre le taux de 15 %.</t>
  </si>
  <si>
    <t xml:space="preserve">cfe_base_minimum_bareme</t>
  </si>
  <si>
    <t xml:space="preserve">CFE : barème 2026 de la base minimum, selon le CA N-2</t>
  </si>
  <si>
    <t xml:space="preserve">EUR de base d'imposition (avant application du taux communal)</t>
  </si>
  <si>
    <t xml:space="preserve">Combien coûte la CFE quand on est auto-entrepreneur ? (Salerya) ; Calcul CFE (Legalstart)</t>
  </si>
  <si>
    <t xml:space="preserve">https://salerya.fr/statuts/auto-entrepreneur/cfe/</t>
  </si>
  <si>
    <t xml:space="preserve">Fourchettes de base minimum 2026 (CA HT 2024), selon Salerya qui renvoie aux fiches Service-Public F23999/F23547 et à l'article 1647 D du CGI : CA ≤ 10 000 € : 250-597 € ; 10 001-32 600 € : 250-1 194 € ; 32 601-100 000 € : 250-2 509 € ; 100 001-250 000 € : 250-4 183 € ; 250 001-500 000 € : 250-5 974 € ; &gt; 500 000 € : 250-7 769 €. La cotisation due = base × taux communal (environ 15 à 30 %+). Avec un local loué, la base est la valeur locative cadastrale si elle dépasse la base minimum. D'autres sites donnent 247-7 669 € ou 243-7 533 € (barèmes antérieurs).</t>
  </si>
  <si>
    <t xml:space="preserve">cfe_creation_exoneration</t>
  </si>
  <si>
    <t xml:space="preserve">CFE : exonération l'année de création, puis réduction de base l'année suivante</t>
  </si>
  <si>
    <t xml:space="preserve">% d'allègement (100 % en année 1, 50 % de la base en année 2)</t>
  </si>
  <si>
    <t xml:space="preserve">CFE première année d'activité : première imposition expliquée (Propulse by CA)</t>
  </si>
  <si>
    <t xml:space="preserve">https://propulsebyca.fr/impots-et-taxes/cfe/premiere-annee</t>
  </si>
  <si>
    <t xml:space="preserve">La première année d'activité est exonérée de CFE, à condition de déposer la déclaration initiale 1447-C avant le 31 décembre de l'année de création. La deuxième année, la base est réduite de 50 % (article 1478-II du CGI, BOFiP). Certaines communes votent aussi une exonération temporaire de 3 ans (article 1478 bis).</t>
  </si>
  <si>
    <t xml:space="preserve">smic_2025</t>
  </si>
  <si>
    <t xml:space="preserve">SMIC brut mensuel 2025 (35 h), en vigueur du 1er novembre 2024 au 31 décembre 2025</t>
  </si>
  <si>
    <t xml:space="preserve">EUR brut/mois</t>
  </si>
  <si>
    <t xml:space="preserve">2025</t>
  </si>
  <si>
    <t xml:space="preserve">SMIC : Relèvement du salaire minimum de croissance au 1er novembre 2024 (CMS Francis Lefebvre)</t>
  </si>
  <si>
    <t xml:space="preserve">https://cms.law/fr/fra/a-la-une/smic-relevement-du-salaire-minimum-de-croissance-au-1er-novembre-2024</t>
  </si>
  <si>
    <t xml:space="preserve">Le décret n° 2024-951 du 23 octobre 2024 fixe le SMIC horaire à 11,88 € au 1er novembre 2024, soit 1 801,80 € pour 35 h/semaine. Pas de revalorisation au 1er janvier 2025. Conversion ≈ 1 181 903 FCFA.</t>
  </si>
  <si>
    <t xml:space="preserve">smic_2026_janvier</t>
  </si>
  <si>
    <t xml:space="preserve">SMIC brut mensuel au 1er janvier 2026 (35 h)</t>
  </si>
  <si>
    <t xml:space="preserve">2026-01-01</t>
  </si>
  <si>
    <t xml:space="preserve">Le SMIC revalorisé au 1er janvier 2026 (info.gouv.fr)</t>
  </si>
  <si>
    <t xml:space="preserve">https://www.info.gouv.fr/actualite/le-smic-revalorise-au-1er-janvier-2026</t>
  </si>
  <si>
    <t xml:space="preserve">Hausse de 1,18 % : taux horaire de 12,02 € (contre 11,88 €), SMIC mensuel brut de 1 823,03 €, net d'environ 1 443,11 €. Conversion ≈ 1 195 829 FCFA.</t>
  </si>
  <si>
    <t xml:space="preserve">smic_2026_juin</t>
  </si>
  <si>
    <t xml:space="preserve">SMIC brut mensuel au 1er juin 2026 (35 h), revalorisation infra-annuelle</t>
  </si>
  <si>
    <t xml:space="preserve">2026-06-01</t>
  </si>
  <si>
    <t xml:space="preserve">Le SMIC revalorisé le 1er juin 2026 (info.gouv.fr) ; Revalorisation du Smic au 1er juin 2026 (Centre Inffo)</t>
  </si>
  <si>
    <t xml:space="preserve">L'arrêté du 22 mai 2026 (JO du 24 mai) porte le SMIC horaire brut à 12,31 €, soit +2,41 %, et le mensuel à 1 867,02 € pour 35 h. Le net passe à environ 1 477,93 €. La hausse résulte du mécanisme automatique déclenché par une inflation ≥ 2 %. C'est la valeur en vigueur en octobre 2026. Conversion ≈ 1 224 685 FCFA. Également confirmé par Centre Inffo (https://www.centre-inffo.fr/?p=513115).</t>
  </si>
  <si>
    <t xml:space="preserve">charges_patronales_non_cadre</t>
  </si>
  <si>
    <t xml:space="preserve">Taux de cotisations patronales sur le salaire brut, salarié non-cadre, avant réduction générale</t>
  </si>
  <si>
    <t xml:space="preserve">% du salaire brut</t>
  </si>
  <si>
    <t xml:space="preserve">Cotisations patronales 2026 : entre 35 % et 45 % du brut (Moicombien) ; Charges patronales 2026 (salairebrut-en-net.fr)</t>
  </si>
  <si>
    <t xml:space="preserve">https://moicombien.fr/blog/cotisations-patronales-2026-taux-detaille-employeur</t>
  </si>
  <si>
    <t xml:space="preserve">Environ 41 % du brut avant réduction pour un non-cadre sous le plafond de la Sécurité sociale. Une autre source donne 38 à 42 % pour un non-cadre à temps plein. Principaux taux employeur : maladie 7,00 %, allocations familiales 3,45 % (5,25 % au-delà de 3,5 SMIC), AGIRC-ARRCO tranche 1 : 4,72 %, assurance chômage 4,05 % (moicombien.fr, salairebrut-en-net.fr). Taux effectif après RGDU : environ 3 % au SMIC, environ 24 % à 2 500 € brut, environ 37 % à 4 000 € brut (opcodirect.fr). Ce sont des sources tierces : le barème officiel URSSAF n'a pas pu être consulté.</t>
  </si>
  <si>
    <t xml:space="preserve">charges_patronales_cadre</t>
  </si>
  <si>
    <t xml:space="preserve">Taux de cotisations patronales sur le salaire brut, salarié cadre</t>
  </si>
  <si>
    <t xml:space="preserve">Coût salarial employeur et charges patronales 2026 (Simulateur Gratuit)</t>
  </si>
  <si>
    <t xml:space="preserve">Environ 42 % pour un non-cadre et jusqu'à 45 % pour un cadre. Le surcoût cadre vient surtout de l'AGIRC-ARRCO tranche 2 et de la prévoyance cadre obligatoire. Coût total employeur d'un cadre : brut × 1,52 à 1,58 selon une autre source (moicombien). Exemple join-jump.com pour un cadre à 4 500 € brut : environ 1 890 € de cotisations patronales, moins environ 300 € de réduction, soit un coût total d'environ 6 090 € (taux effectif d'environ 35 %). À vérifier sur le simulateur officiel de l'URSSAF.</t>
  </si>
  <si>
    <t xml:space="preserve">rgdu_2026</t>
  </si>
  <si>
    <t xml:space="preserve">Réduction générale dégressive unique (RGDU) 2026 : coefficient maximal et point de sortie</t>
  </si>
  <si>
    <t xml:space="preserve">coefficient (au niveau du SMIC), nul à 3 SMIC</t>
  </si>
  <si>
    <t xml:space="preserve">Réduction générale des cotisations patronales 2026 : ce qui change pour les employeurs (Hayot Expertise)</t>
  </si>
  <si>
    <t xml:space="preserve">https://hayot-expertise.fr/blog/reduction-generale-cotisations-patronales-2026</t>
  </si>
  <si>
    <t xml:space="preserve">Depuis le 1er janvier 2026, la RGDU remplace la réduction Fillon et les taux réduits maladie et famille. Coefficient maximal : 0,3981 pour les entreprises de moins de 50 salariés, 0,4021 pour les autres. La réduction devient nulle à 3 SMIC, avec un socle de 2 % juste avant (décret n° 2025-887 du 4 septembre 2025). Les cadres d'ALQAVYA payés au-delà de 3 SMIC (environ 5 600 € brut/mois) n'en bénéficient pas.</t>
  </si>
  <si>
    <t xml:space="preserve">salaire_coo_directeur_operations</t>
  </si>
  <si>
    <t xml:space="preserve">Salaire brut annuel d'un directeur des opérations / COO en France</t>
  </si>
  <si>
    <t xml:space="preserve">EUR brut/an</t>
  </si>
  <si>
    <t xml:space="preserve">Salaire Chief Operating Officer (Journal du Net, données Glassdoor) ; Fiche de paie Directeur des opérations (fiche-paie.fr)</t>
  </si>
  <si>
    <t xml:space="preserve">https://www.journaldunet.com/business/salaire/chief-operating-officer-coo/salaire-01162</t>
  </si>
  <si>
    <t xml:space="preserve">JDN, d'après Glassdoor 2026 : médiane d'environ 8 750 € brut/mois, soit environ 105 000 €/an, fourchette mensuelle de 4 500 à 13 000 €, toutes tailles d'entreprise. fiche-paie.fr (https://fiche-paie.fr/metier/directeur-des-operations) : 5 000 à 6 500 € brut/mois en PME (environ 60 000 à 78 000 €/an), plus une part variable de 15 à 30 % du fixe. Pour une PME ou start-up, le bas de la fourchette (60-78 k€) est le plus réaliste.</t>
  </si>
  <si>
    <t xml:space="preserve">salaire_controleur_gestion</t>
  </si>
  <si>
    <t xml:space="preserve">Salaire brut annuel d'un contrôleur de gestion / contrôleur financier</t>
  </si>
  <si>
    <t xml:space="preserve">2024-2026</t>
  </si>
  <si>
    <t xml:space="preserve">Salaire &gt; Contrôleur de gestion (blog-rh.com, citant Apec, Jobted, Le Figaro Emploi)</t>
  </si>
  <si>
    <t xml:space="preserve">Salaire moyen d'environ 43 400 € brut/an selon Jobted et 41 100 € selon Le Figaro Emploi. Fourchette junior-senior de 32 000 à 58 000 €. Baromètre APEC 2024, famille « finance, comptabilité et gestion » : médiane de 56 000 € (fixe + variable), 80 % des cadres entre 38 000 et 91 000 €. Michael Page (via JDN) donne une médiane de 63 996 € pour le contrôle de gestion projets. Retenir 43-56 k€ pour un contrôleur confirmé en région.</t>
  </si>
  <si>
    <t xml:space="preserve">salaire_coordinateur_supply_international</t>
  </si>
  <si>
    <t xml:space="preserve">Salaire brut annuel d'un coordinateur logistique international / gestionnaire import-export</t>
  </si>
  <si>
    <t xml:space="preserve">Gestionnaire import export – salaire (Robert Half France)</t>
  </si>
  <si>
    <t xml:space="preserve">Robert Half France, gestionnaire import/export : 25e percentile 35 000 €, médiane 40 000 €, 75e percentile 45 000 €. Variantes régionales : Toulouse 31 500-40 500 € (médiane 36 000 €), Marseille 33 250-42 750 €. Recoupement : travail-industrie.com, coordinateur logistique confirmé (3-7 ans) 34-42 k€ (médiane 38 k€), senior 42-50 k€. Robert Half donne aussi 45-75 k€ pour un responsable supply chain (médiane 60 k€).</t>
  </si>
  <si>
    <t xml:space="preserve">salaire_developpeur</t>
  </si>
  <si>
    <t xml:space="preserve">Salaire brut annuel d'un développeur web / full stack</t>
  </si>
  <si>
    <t xml:space="preserve">Salaire développeur web : combien gagne un développeur web en France ? (Capitaine Study, citant Indeed et Glassdoor)</t>
  </si>
  <si>
    <t xml:space="preserve">https://www.capitainestudy.fr/?p=46323</t>
  </si>
  <si>
    <t xml:space="preserve">Indeed : moyenne nationale de 37 543 € brut/an (mise à jour du 13 avril 2026). Glassdoor : moyenne de 39 000 €, junior 37 500 € (30-45 k€), Paris 42 000 €. Profil confirmé : environ 40-60 k€ (à Paris, environ 50 k€ en moyenne, salaireclair.fr / salairebrut-en-net.fr), senior médian environ 62 k€. Paris paie environ 10 à 20 % de plus que la province.</t>
  </si>
  <si>
    <t xml:space="preserve">salaire_assistant_administratif</t>
  </si>
  <si>
    <t xml:space="preserve">Salaire brut mensuel d'un assistant administratif / office assistant</t>
  </si>
  <si>
    <t xml:space="preserve">Salaires assistant(e) 2026 (salairebrut-en-net.fr)</t>
  </si>
  <si>
    <t xml:space="preserve">https://salairebrut-en-net.fr/metiers/salaire-assistant</t>
  </si>
  <si>
    <t xml:space="preserve">Fourchette d'environ 1 867 à 2 200 € brut/mois (1 420 à 1 715 € net), soit environ 22 400 à 26 400 €/an sur 12 mois. Le plancher de 1 867 € correspond au SMIC au 1er juin 2026. Indeed (salaires par entreprise) : environ 1 929 €/mois pour un assistant administratif chez Inria.</t>
  </si>
  <si>
    <t xml:space="preserve">salaire_assistant_direction</t>
  </si>
  <si>
    <t xml:space="preserve">Salaire brut annuel d'un assistant de direction</t>
  </si>
  <si>
    <t xml:space="preserve">Quel est le salaire moyen d'un Assistant de direction en 2026 ? (Michael Page)</t>
  </si>
  <si>
    <t xml:space="preserve">https://www.michaelpage.fr/recrutement/tendances-rh/salaire-moyen-d-un-assistant-de-direction</t>
  </si>
  <si>
    <t xml:space="preserve">Michael Page : salaire médian d'environ 44 000 € brut/an pour les assistant(e)s de direction en France (haut de fourchette, plutôt en grande entreprise ou à Paris). salairebrut-en-net.fr donne 2 200 à 3 200 € brut/mois (26 400 à 38 400 €/an).</t>
  </si>
  <si>
    <t xml:space="preserve">regime_mere_fille</t>
  </si>
  <si>
    <t xml:space="preserve">Régime mère-fille : quote-part imposable sur les dividendes de la filiale (exonération à 95 %)</t>
  </si>
  <si>
    <t xml:space="preserve">% du dividende réintégré au résultat (environ 1,25 % d'IS effectif à 25 %)</t>
  </si>
  <si>
    <t xml:space="preserve">Conditions de l'exonération des dividendes versés aux sociétés mères (CMS Francis Lefebvre)</t>
  </si>
  <si>
    <t xml:space="preserve">Articles 145 et 216 du CGI : la société mère déduit de son bénéfice les dividendes de ses filiales françaises ou étrangères, moins une quote-part de frais et charges de 5 %. Conditions : titres représentant au moins 5 % du capital de la filiale, conservés au moins 2 ans, et filiale soumise à l'IS ou à un impôt équivalent (l'IS camerounais remplit cette condition). Le taux réduit de 1 % vaut seulement pour l'intégration fiscale et les filiales de l'UE, donc pas pour le Cameroun (Dougs, https://www.dougs.fr/blog/regime-mere-fille/). Le Conseil d'État (5 juillet 2022, n° 463021) a jugé que la quote-part forfaitaire s'applique même si les frais réels sont inférieurs (cours Paris 1).</t>
  </si>
  <si>
    <t xml:space="preserve">ras_dividendes_cameroun_convention</t>
  </si>
  <si>
    <t xml:space="preserve">Plafond conventionnel de retenue à la source camerounaise sur les dividendes versés à la société mère française</t>
  </si>
  <si>
    <t xml:space="preserve">% du dividende brut</t>
  </si>
  <si>
    <t xml:space="preserve">Avenant du 31/03/1994 (décret 97-63), toujours en vigueur en 2026</t>
  </si>
  <si>
    <t xml:space="preserve">Décret n° 97-63 du 22 janvier 1997 portant publication de l'avenant à la convention fiscale du 21 octobre 1976 France-Cameroun (Légifrance)</t>
  </si>
  <si>
    <t xml:space="preserve">https://www.legifrance.gouv.fr/jorf/id/JORFTEXT000000747957</t>
  </si>
  <si>
    <t xml:space="preserve">« L'impôt ainsi établi ne peut excéder 15 p. 100 du montant brut des dividendes » lorsque le bénéficiaire effectif est résident de l'autre État. Taux de droit commun de l'IRCM camerounais : 16,5 % (lefisk.cm). Point clé : selon la position traditionnelle de l'administration française, la retenue camerounaise sur des dividendes exonérés par le régime mère-fille n'est pas imputable sur l'IS français, puisque le revenu n'est pas dans l'assiette. Elle devient donc un coût définitif d'environ 15 %. Un arrêt du Conseil d'État commenté en 2023 nuance cette position (Option Finance), à vérifier avec un conseil fiscal.</t>
  </si>
  <si>
    <t xml:space="preserve">ras_assistance_technique_convention</t>
  </si>
  <si>
    <t xml:space="preserve">Plafond de retenue à la source camerounaise sur les rémunérations d'études, d'assistance technique, financière ou comptable facturées par la mère française (management fees)</t>
  </si>
  <si>
    <t xml:space="preserve">Avenant du 28/10/1999 (rétroactif au 01/01/1998), en vigueur en 2026</t>
  </si>
  <si>
    <t xml:space="preserve">Rapport Assemblée nationale n° 35 (XIIe législature) sur l'avenant à la convention fiscale France-Cameroun</t>
  </si>
  <si>
    <t xml:space="preserve">L'article 4 de l'avenant de 1999 permet au Cameroun d'imposer ces rémunérations, avec une retenue plafonnée à 7,5 % (contre 15 % dans la version initiale). La France accorde un crédit d'impôt correspondant aux retenues opérées au Cameroun, dans la limite de 7,5 %. Confirmé par CMS (https://cms.law/en/fra/legal-updates/cameroun-ce-qu-il-faut-savoir-pour-s-implanter-et-exporter) et par le Sénat (https://www.senat.fr/leg/pjl00-181.html). Contrairement aux dividendes, ces fees sont imposables en France, donc le crédit d'impôt est utilisable.</t>
  </si>
  <si>
    <t xml:space="preserve">credit_impot_convention_plafond</t>
  </si>
  <si>
    <t xml:space="preserve">Crédit d'impôt conventionnel France-Cameroun : plafonnement à l'impôt dû dans l'État de résidence sur le même revenu</t>
  </si>
  <si>
    <t xml:space="preserve">mécanisme (crédit = impôt étranger, plafonné à l'impôt national dû sur ce revenu)</t>
  </si>
  <si>
    <t xml:space="preserve">Convention du 21/10/1976 modifiée (1994, 1999, CML 2017)</t>
  </si>
  <si>
    <t xml:space="preserve">Convention fiscale franco-camerounaise (DGI Cameroun, impots.cm)</t>
  </si>
  <si>
    <t xml:space="preserve">https://www.impots.cm/sites/default/files/documents/Convention-franco-camerounaise.pdf</t>
  </si>
  <si>
    <t xml:space="preserve">Le texte prévoit que l'impôt perçu dans l'État de la source « ouvre droit à un crédit d'impôt. Ce crédit correspond au montant de l'impôt […] perçu mais ne peut excéder le montant de l'impôt […] exigible sur ces revenus ». Le Cameroun a retenu l'option C de l'article 5 de la CML pour l'élimination des doubles impositions (OCDE). Version consolidée intégrant la CML : impots.gouv.fr (convention-avec-le-cameroun-modifiee-par-la-cml.pdf). Convention en vigueur depuis le 19 juillet 1978.</t>
  </si>
  <si>
    <t xml:space="preserve">prix_transfert_seuil_documentation</t>
  </si>
  <si>
    <t xml:space="preserve">Prix de transfert : seuil de l'obligation de documentation complète (article L13 AA LPF)</t>
  </si>
  <si>
    <t xml:space="preserve">EUR de CA HT ou d'actif brut</t>
  </si>
  <si>
    <t xml:space="preserve">Exercices ouverts depuis le 01/01/2024</t>
  </si>
  <si>
    <t xml:space="preserve">Loi de finances pour 2024 : les prix de transfert, objet de toutes les attentions (Deloitte Avocats)</t>
  </si>
  <si>
    <t xml:space="preserve">https://blog.avocats.deloitte.fr/loi-de-finances-pour-2024-les-prix-de-transfert-objet-de-toutes-les-attentions/</t>
  </si>
  <si>
    <t xml:space="preserve">L'article 116 de la LF 2024 abaisse le seuil de 400 M€ à 150 M€ de CA HT ou d'actif brut. Amende minimale pour défaut de documentation portée à 50 000 € par exercice (article 1735 ter du CGI, Leyton). La déclaration simplifiée 2257-SD s'impose dès 50 M€ (article 223 quinquies B du CGI). ALQAVYA reste sous ces seuils, mais l'article 57 du CGI (prix de pleine concurrence) s'applique sans condition de taille : il faut justifier les management fees et refacturations à la filiale camerounaise. Le Cameroun impose aussi ses propres obligations (voir côté Cameroun).</t>
  </si>
  <si>
    <t xml:space="preserve">prix_transfert_2257_seuil</t>
  </si>
  <si>
    <t xml:space="preserve">Prix de transfert : seuil de la déclaration simplifiée 2257-SD</t>
  </si>
  <si>
    <t xml:space="preserve">Documentation prix de transfert pour PME : kit pratique 2026 (Hayot Expertise)</t>
  </si>
  <si>
    <t xml:space="preserve">https://hayot-expertise.fr/blog/documentation-prix-de-transfert-pme-kit-pratique-2026</t>
  </si>
  <si>
    <t xml:space="preserve">Seuil du formulaire 2257-SD (article 223 quinquies B du CGI) abaissé de 400 M€ à 50 M€. Dépôt dans les 6 mois suivant la liasse fiscale. Amende de 150 € en cas de défaut (article 1729 B du CGI). La déclaration pays par pays ne concerne que les groupes de plus de 750 M€ de CA consolidé.</t>
  </si>
  <si>
    <t xml:space="preserve">tva_services_filiale_hors_ue</t>
  </si>
  <si>
    <t xml:space="preserve">TVA française sur les prestations de services B2B facturées à la filiale camerounaise (preneur hors UE)</t>
  </si>
  <si>
    <t xml:space="preserve">% de TVA française (hors champ)</t>
  </si>
  <si>
    <t xml:space="preserve">Comment facturer un client étranger : TVA intracommunautaire (Keobiz)</t>
  </si>
  <si>
    <t xml:space="preserve">https://www.keobiz.fr/fiches-pratiques/creation-dentreprise/comment-facturer-un-client-etranger-tva-intracommunautaire/</t>
  </si>
  <si>
    <t xml:space="preserve">Une prestation B2B rendue à un preneur assujetti établi hors UE est localisée chez le preneur (article 259-1 du CGI) : pas de TVA française. Facture HT avec la mention « TVA non applicable – article 259-1 du CGI ». Pas de DES pour un client hors UE. C'est le client camerounais qui doit, le cas échéant, autoliquider la TVA camerounaise (19,25 %, voir côté Cameroun). La TVA française d'amont reste déductible.</t>
  </si>
  <si>
    <t xml:space="preserve">loyer_bureaux_paris_idf</t>
  </si>
  <si>
    <t xml:space="preserve">Loyer de bureaux en Île-de-France / Paris (moyenne seconde main IDF et loyer prime Paris QCA)</t>
  </si>
  <si>
    <t xml:space="preserve">EUR HT HC/m²/an</t>
  </si>
  <si>
    <t xml:space="preserve">T1 2025 (moyenne IDF) / bilan 2025 (prime QCA)</t>
  </si>
  <si>
    <t xml:space="preserve">Étude marché locatif IDF T1 2025 (Newmark) ; Marché locatif bureaux Paris, bilan 2025 (JLL)</t>
  </si>
  <si>
    <t xml:space="preserve">https://nmrk.com/storage-nmrk/uploads/documents/02_ETUDE_March%C3%A9_Locatif_IDF.pdf</t>
  </si>
  <si>
    <t xml:space="preserve">Newmark/Immostat : loyer moyen seconde main en Île-de-France de 450 €/m²/an au T1 2025 (440 un an plus tôt). JLL, bilan 2025 (https://www.jll.com/fr-fr/newsroom/cp-marche-locatif-bureaux-paris-bilan-2025) : loyer prime QCA de 1 230 €/m²/an (+11 %), Paris 18/19/20 : 590 €, Paris 14/15 : 750 €. BNP Paribas RE (note DRIEAT S2 2025) : prime parisien de 1 250 €. Les mesures d'accompagnement atteignent environ 19 % à Paris. Pas de moyenne Paris hors QCA consolidée (voir gaps).</t>
  </si>
  <si>
    <t xml:space="preserve">loyer_bureaux_lyon</t>
  </si>
  <si>
    <t xml:space="preserve">Loyer moyen de bureaux à Lyon (seconde main et neuf)</t>
  </si>
  <si>
    <t xml:space="preserve">S1 2025</t>
  </si>
  <si>
    <t xml:space="preserve">Analyses du marché tertiaire lyonnais au S1 2025 (JLL / CECIM)</t>
  </si>
  <si>
    <t xml:space="preserve">Loyer moyen de 198 € en seconde main et 233 € dans le neuf. Loyer prime : 380 €/m²/an. CBRE T4 2025 : prime Part-Dieu à 370 € pour le neuf, loyers globalement stables, vacance à 7,9 %. Loyers affichés sur BureauxLocaux : moyenne de 220 € (fourchette 108-446).</t>
  </si>
  <si>
    <t xml:space="preserve">loyer_bureaux_lille</t>
  </si>
  <si>
    <t xml:space="preserve">Loyer moyen de bureaux dans la métropole lilloise (seconde main et neuf)</t>
  </si>
  <si>
    <t xml:space="preserve">Lille : JLL commente les chiffres ImmoStat du 1er semestre</t>
  </si>
  <si>
    <t xml:space="preserve">https://www.jll.com/fr-fr/newsroom/lille-jll-commente-les-chiffres-immostat-du-1er-semestre</t>
  </si>
  <si>
    <t xml:space="preserve">Loyers moyens de 183 €/m²/an dans le neuf et 163 €/m²/an en seconde main. CBRE, bilan 2025 : loyer prime QCA de 250 €, vacance à 7,5 %. Loyers affichés sur BureauxLocaux : moyenne de 205 €.</t>
  </si>
  <si>
    <t xml:space="preserve">loyer_bureaux_bordeaux</t>
  </si>
  <si>
    <t xml:space="preserve">Loyer moyen de bureaux à Bordeaux intra-muros (seconde main et neuf)</t>
  </si>
  <si>
    <t xml:space="preserve">Prix moyen m² des bureaux à louer à Bordeaux (Tourny Meyer)</t>
  </si>
  <si>
    <t xml:space="preserve">https://www.tournymeyer.fr/conseils/prix-location-bureaux-bordeaux/</t>
  </si>
  <si>
    <t xml:space="preserve">Valeur locative moyenne à Bordeaux intra-muros : environ 255 € HT HC pour le neuf et 226 € pour la seconde main. CBRE T4 2025 : vacance d'environ 8 % sur la métropole, loyer prime QCA de 230 € selon l'extrait. Les données de l'observatoire OIEB/a'urba 2025 n'ont pas été consultées.</t>
  </si>
  <si>
    <t xml:space="preserve">loyer_bureaux_nantes</t>
  </si>
  <si>
    <t xml:space="preserve">Loyer de bureaux à Nantes (moyenne et prime)</t>
  </si>
  <si>
    <t xml:space="preserve">2024 (moyenne) / T4 2025 (prime)</t>
  </si>
  <si>
    <t xml:space="preserve">Location de bureaux à Nantes : prix au m² (Arthur Loyd) ; CBRE Figures Bureaux Nantes T4</t>
  </si>
  <si>
    <t xml:space="preserve">https://www.arthur-loyd.com/actualites/le-prix-des-bureaux-a-louer-a-nantes</t>
  </si>
  <si>
    <t xml:space="preserve">Arthur Loyd : loyer moyen de 173 € HT HC/m²/an sur 2024, fourchette de 230-300 € dans le neuf et 170-250 € en seconde main. CBRE T4 2025 : prime de 250 € (Euronantes, Île de Nantes, Centre), 140-190 € en périphérie. Loyers affichés sur BureauxLocaux (juin 2026) : moyenne de 193 €.</t>
  </si>
  <si>
    <t xml:space="preserve">loyer_bureaux_toulouse</t>
  </si>
  <si>
    <t xml:space="preserve">Loyer moyen affiché de bureaux à Toulouse</t>
  </si>
  <si>
    <t xml:space="preserve">2026-07</t>
  </si>
  <si>
    <t xml:space="preserve">Prix affichés des bureaux Toulouse (BureauxLocaux)</t>
  </si>
  <si>
    <t xml:space="preserve">https://www.bureauxlocaux.com/prix-marche/bureaux/toulouse</t>
  </si>
  <si>
    <t xml:space="preserve">Loyer moyen affiché d'environ 170 € HT HC/m²/an (fourchette de 92 à 327), en hausse de 3,8 % sur un an. Il s'agit d'annonces, pas de loyers signés. Le CBRE T4 2025 Toulouse (demande placée de 125 700 m²) n'a pas pu être lu pour les loyers.</t>
  </si>
  <si>
    <t xml:space="preserve">coworking_bureau_prive_paris</t>
  </si>
  <si>
    <t xml:space="preserve">Bureau privatif en centre d'affaires ou coworking à Paris (1 personne)</t>
  </si>
  <si>
    <t xml:space="preserve">EUR/mois</t>
  </si>
  <si>
    <t xml:space="preserve">Prix coworking (Cocowork)</t>
  </si>
  <si>
    <t xml:space="preserve">https://cocowork.fr/prix-coworking/</t>
  </si>
  <si>
    <t xml:space="preserve">Paris : bureau fermé de 400 à 700 €/mois pour 1 personne, 600 à 1 200 € pour 2 personnes. Poste fixe en open space de 250 à 450 €/mois. WeWork : bureau privatif 1 personne de 700 à 1 100 €/mois, poste fixe de 450 à 650 €. Selon Cocowork, Lyon, Bordeaux et Nantes sont en moyenne environ 30 % moins chers que Paris. Ces prix incluent généralement charges, internet et accueil.</t>
  </si>
  <si>
    <t xml:space="preserve">coworking_bureau_prive_lyon</t>
  </si>
  <si>
    <t xml:space="preserve">Bureau privatif ou poste fermé en centre d'affaires à Lyon</t>
  </si>
  <si>
    <t xml:space="preserve">EUR HT/poste/mois</t>
  </si>
  <si>
    <t xml:space="preserve">Besoin d'un espace de travail à Lyon ? (Workin.space) ; Prestaburo Monplaisir Lyon 3</t>
  </si>
  <si>
    <t xml:space="preserve">https://workin.space/fr/france/lyon</t>
  </si>
  <si>
    <t xml:space="preserve">Workin.space : la moitié des espaces lyonnais proposent un poste en bureau fermé sous 288 € HT/mois (médiane de 302 €/poste tout inclus). Exemple Prestaburo Lyon 3 (https://workin.space/coworking/france/lyon-69/lyon-3-69003/prestaburo-monplaisir) : poste fixe dès 280 € HT/mois, bureau privatif 2 personnes dès 790 € HT/mois. Wezoo : 450 à 900 €/poste/mois en serviced office (https://wezoo.com/insights/prix-location-bureau-lyon).</t>
  </si>
  <si>
    <t xml:space="preserve">assurance_rc_pro</t>
  </si>
  <si>
    <t xml:space="preserve">Prime annuelle d'assurance RC Pro pour une petite entreprise tech / numérique</t>
  </si>
  <si>
    <t xml:space="preserve">EUR/an</t>
  </si>
  <si>
    <t xml:space="preserve">RC pro informatique : tarifs et garanties (Philtr)</t>
  </si>
  <si>
    <t xml:space="preserve">Philtr (prix moyens constatés) : 200 à 350 €/an pour un CA &lt; 100 k€ avec 100 k€ de plafond, jusqu'à 5 000 à 6 000 €/an pour un CA &lt; 3 M€ avec 3 M€ de plafond. Swim.legal (https://www.swim.legal/blog/assurance-entreprise-prix) : une TPE paie en moyenne 300 à 1 500 €/an pour la seule RC Pro. Coover : environ 200 €/an pour une start-up avec un plafond de 50 k€ (offre AIG à 199 €). Pour une marketplace avec filiale africaine, viser un plafond ≥ 1 M€, soit environ 1 000 à 3 000 €/an (interpolation dans le barème Philtr).</t>
  </si>
  <si>
    <t xml:space="preserve">honoraires_expert_comptable</t>
  </si>
  <si>
    <t xml:space="preserve">Honoraires annuels d'expert-comptable pour une SAS (tenue, bilan, liasse)</t>
  </si>
  <si>
    <t xml:space="preserve">EUR HT/an</t>
  </si>
  <si>
    <t xml:space="preserve">Quel est le prix d'un expert-comptable ? (Keobiz) ; Grille tarifaire expert-comptable 2026 (Hayot Expertise)</t>
  </si>
  <si>
    <t xml:space="preserve">Keobiz : SAS/SARL en TPE de 2 000 à 5 000 € HT/an (forfait de 120 à 300 €/mois). Hayot (https://hayot-expertise.fr/blog/grille-tarifaire-expert-comptable) : 1 800 à 3 600 €/an pour une SAS sans salarié, 4 000 à 8 000 € ou plus avec des salariés et un CA élevé. Paie : supplément par bulletin. Honoraires libres (code de déontologie). Une mère pilotant une filiale étrangère (refacturations, prix de transfert) se situera plutôt dans le haut de la fourchette.</t>
  </si>
  <si>
    <t xml:space="preserve">cac_seuils_nomination</t>
  </si>
  <si>
    <t xml:space="preserve">Seuils de nomination obligatoire d'un commissaire aux comptes en SAS (2 critères sur 3)</t>
  </si>
  <si>
    <t xml:space="preserve">EUR (5 M€ de bilan / 10 M€ de CA HT) + 50 salariés</t>
  </si>
  <si>
    <t xml:space="preserve">SAS et commissaire aux comptes (Shine)</t>
  </si>
  <si>
    <t xml:space="preserve">https://www.shine.fr/blog/sas-commissaire-compte/</t>
  </si>
  <si>
    <t xml:space="preserve">Un CAC est obligatoire dès que 2 seuils sur 3 sont dépassés : 5 000 000 € de bilan, 10 000 000 € de CA HT, 50 salariés (seuils relevés de 25 % par le décret n° 2024-152 du 28 février 2024). Une SAS qui contrôle d'autres sociétés doit nommer un CAC si l'ensemble qu'elle forme avec ses filiales dépasse ces seuils. Une filiale significative est concernée dès 2,5 M€ de bilan, 5 M€ de CA ou 25 salariés. Mandat de 6 ans (3 exercices pour l'ALPE).</t>
  </si>
  <si>
    <t xml:space="preserve">cac_honoraires</t>
  </si>
  <si>
    <t xml:space="preserve">Honoraires annuels d'un commissaire aux comptes pour une PME</t>
  </si>
  <si>
    <t xml:space="preserve">Barème CAC 2026 : honoraires du commissaire aux comptes, seuils et coûts pour les PME (Hayot Expertise)</t>
  </si>
  <si>
    <t xml:space="preserve">https://hayot-expertise.fr/blog/bareme-honoraires-commissaire-aux-comptes-2026</t>
  </si>
  <si>
    <t xml:space="preserve">Mission ALPE allégée : 3 500 à 10 000 € HT/an. Audit légal classique d'une PME au-dessus des seuils : 5 000 à 15 000 € HT. PME complexe (multi-sites, international) : 15 000 à 30 000 € HT. Honoraires libres depuis la loi PACTE (barème d'heures à l'article D.821-188 du code de commerce). Repère officiel ancien : rapport IGF 2018 (réponse ministérielle, https://questions.assemblee-nationale.fr/dyn/15/questions/QANR5L15QE8293.pdf), coût moyen de 5 511 €/an pour une petite entreprise.</t>
  </si>
  <si>
    <t xml:space="preserve">banque_compte_pro</t>
  </si>
  <si>
    <t xml:space="preserve">Frais de tenue d'un compte bancaire professionnel (néobanque ou banque traditionnelle)</t>
  </si>
  <si>
    <t xml:space="preserve">EUR HT/mois</t>
  </si>
  <si>
    <t xml:space="preserve">Qonto vs Shine vs banque traditionnelle : quel compte pro choisir en 2026 ? (Hayot Expertise)</t>
  </si>
  <si>
    <t xml:space="preserve">Qonto : à partir de 9 € HT/mois en entrée de gamme. Shine : formule gratuite, ou 7,90 € HT/mois (Shine Plus). Banque traditionnelle : environ 30 à 50 €/mois, avec accès au crédit, au découvert et à la garantie des dépôts. Dépôt de capital en ligne chez ces néobanques : 69 € HT. Pour des virements réguliers vers le Cameroun (XAF), il faut prévoir une banque traditionnelle ou une solution de paiement international, avec des frais de change et de virement SWIFT en sus (non chiffrés ici).</t>
  </si>
  <si>
    <t xml:space="preserve">social_cm</t>
  </si>
  <si>
    <t xml:space="preserve">smig_prive_non_agricole</t>
  </si>
  <si>
    <t xml:space="preserve">SMIG – secteur privé non agricole (montant mensuel en vigueur)</t>
  </si>
  <si>
    <t xml:space="preserve">Décret n°2023/00338/PM du 21/03/2023, toujours en vigueur en 2026</t>
  </si>
  <si>
    <t xml:space="preserve">Revalorisation du Smig : Dion Ngute contente toutes les parties… – Investir au Cameroun</t>
  </si>
  <si>
    <t xml:space="preserve">Le décret du PM du 21 mars 2023 a créé un SMIG à trois niveaux : 60 000 FCFA pour les « autres secteurs d'activité » (privé non agricole), 45 000 FCFA pour l'agricole, 41 875 FCFA pour les agents de l'État. Il abroge le décret 2014/2217/PM (36 270 FCFA). Mêmes chiffres dans stopblablacam.com (« le Cameroun revalorise le salaire minimum à 60 000 FCFA ») et africapaierh.com/blog/smig-cameroun-2026 (aucun décret postérieur identifié en 2026). Le 1er mai 2026, le ministre du Travail a annoncé une future revalorisation sans montant ni calendrier (allAfrica, 01/05/2026). Le chiffre de 62 500 FCFA (lesafriques.com, 2026) ne s'appuie sur aucun texte et n'est pas retenu. ≈ 91,5 EUR. C'est le plancher légal pour tout le personnel salarié d'ALQAVYA Cameroun (hub, livreurs, gardiens…).</t>
  </si>
  <si>
    <t xml:space="preserve">smig_agricole</t>
  </si>
  <si>
    <t xml:space="preserve">SMIG – secteur agricole et assimilé</t>
  </si>
  <si>
    <t xml:space="preserve">Décret n°2023/00338/PM du 21/03/2023</t>
  </si>
  <si>
    <t xml:space="preserve">Secteur privé non agricole : le Cameroun revalorise le salaire minimum à 60 000 FCFA – StopBlaBlaCam</t>
  </si>
  <si>
    <t xml:space="preserve">https://www.stopblablacam.com/societe/2203-10262-secteur-prive-non-agricole-le-cameroun-revalorise-le-salaire-minimum-interpersonnel-a-60-000-fcfa</t>
  </si>
  <si>
    <t xml:space="preserve">Agricole et assimilé : passage de 36 270 à 45 000 FCFA par le même décret du 21/03/2023. Non applicable à ALQAVYA (activité commerciale/logistique), donné pour mémoire.</t>
  </si>
  <si>
    <t xml:space="preserve">smig_agents_etat</t>
  </si>
  <si>
    <t xml:space="preserve">SMIG – agents de l'État relevant du Code du travail</t>
  </si>
  <si>
    <t xml:space="preserve">Décret n°2024/0168/PM du 23/02/2024</t>
  </si>
  <si>
    <t xml:space="preserve">SMIG Cameroun 2026 : montant, décret et base légale – AfricaPaieRH (renvoie au décret n°2024/0168 publié sur spm.gov.cm)</t>
  </si>
  <si>
    <t xml:space="preserve">https://africapaierh.com/blog/smig-cameroun-2026/</t>
  </si>
  <si>
    <t xml:space="preserve">Relèvement de 5 % (41 875 → 43 969 FCFA) limité aux agents de l'État sous Code du travail ; les 60 000 FCFA (privé non agricole) et 45 000 FCFA (agricole) restent inchangés. Texte officiel : https://www.spm.gov.cm/site/sites/default/files/decret_ndeg_2024_0168.pdf (non lisible directement, connu via l'index de recherche). L'article 2026 avertit que ce montant est souvent présenté à tort comme le SMIG du privé. Ne s'applique pas à ALQAVYA.</t>
  </si>
  <si>
    <t xml:space="preserve">cnps_pension_employeur</t>
  </si>
  <si>
    <t xml:space="preserve">CNPS – assurance pensions vieillesse, invalidité, décès : part patronale (et plafond)</t>
  </si>
  <si>
    <t xml:space="preserve">% du salaire brut plafonné à 750 000 FCFA/mois</t>
  </si>
  <si>
    <t xml:space="preserve">Décret n°2016/072 du 15/02/2016 ; taux au 1er janvier 2024</t>
  </si>
  <si>
    <t xml:space="preserve">Les cotisations au Cameroun – CLEISS</t>
  </si>
  <si>
    <t xml:space="preserve">CLEISS (taux au 01/01/2024) : « Assurance pension 4,20 % [employeur] 4,20 % [salarié] 750 000 F CFA » de plafond mensuel. Le décret présidentiel 2016/072 a porté le taux total de 7 % à 8,4 % et le plafond de 300 000 à 750 000 FCFA (Investir au Cameroun, 2016 ; copeps.fr). PwC (taxsummaries) confirme 4,2 % salarié plafonné à 750 000 FCFA/mois (9 M FCFA/an). Les tableaux citant 2,8 % salarié / plafond 300 000 sont antérieurs à 2016.</t>
  </si>
  <si>
    <t xml:space="preserve">cnps_pension_salarie</t>
  </si>
  <si>
    <t xml:space="preserve">CNPS – pension : part salariale retenue à la source</t>
  </si>
  <si>
    <t xml:space="preserve">Fiche PwC revue au 31/12/2025</t>
  </si>
  <si>
    <t xml:space="preserve">Cameroon – Individual – Other taxes – PwC Worldwide Tax Summaries</t>
  </si>
  <si>
    <t xml:space="preserve">https://taxsummaries.pwc.com/republic-of-cameroon/individual/other-taxes</t>
  </si>
  <si>
    <t xml:space="preserve">PwC : « The rate is 4.2% based on the taxable salary, which shall be capped at XAF 750,000 per month (i.e. XAF 9 million per year) ». Le salarié ne cotise qu'à la branche pensions ; les autres branches CNPS sont exclusivement patronales.</t>
  </si>
  <si>
    <t xml:space="preserve">cnps_prestations_familiales</t>
  </si>
  <si>
    <t xml:space="preserve">CNPS – prestations familiales (régime général) : part patronale</t>
  </si>
  <si>
    <t xml:space="preserve">Décret 2016/072 ; annuaire statistique CNPS 2025</t>
  </si>
  <si>
    <t xml:space="preserve">Annuaire statistique 2025 – Caisse Nationale de Prévoyance Sociale (CNPS)</t>
  </si>
  <si>
    <t xml:space="preserve">https://www.cnps.cm/images/documentutile/annuairestat2025.pdf</t>
  </si>
  <si>
    <t xml:space="preserve">7 % pour le régime général (y compris employés de maison), entièrement à la charge de l'employeur ; 5,65 % régime agricole, 3,70 % enseignement privé (CLEISS, copeps.fr). Plafond 750 000 FCFA/mois selon CLEISS et l'annuaire CNPS (tableau partiellement illisible) ; une source isolée parle d'absence de plafond.</t>
  </si>
  <si>
    <t xml:space="preserve">cnps_accidents_travail</t>
  </si>
  <si>
    <t xml:space="preserve">CNPS – accidents du travail et maladies professionnelles : part patronale selon groupe de risque (A/B/C)</t>
  </si>
  <si>
    <t xml:space="preserve">Annuaire statistique CNPS 2023 ; taux inchangés par la réforme 2016</t>
  </si>
  <si>
    <t xml:space="preserve">Annuaire statistique 2023 – CNPS (tableau « Taux de cotisation appliqués par branche de prestations »)</t>
  </si>
  <si>
    <t xml:space="preserve">https://www.cnps.cm/images/parutions/Annuairestatistique2023.pdf</t>
  </si>
  <si>
    <t xml:space="preserve">Groupe A (risque faible) 1,75 % ; groupe B (risque moyen) 2,50 % ; groupe C (risque élevé) 5,00 %. À la charge exclusive de l'employeur. Projecteur Magazine (03/02/2023) : les taux AT/MP « par secteur d'activité demeurent inchangés » après 2016. Base juridique : décret n°78-283 du 10/07/1978. Selon le document CNPS et 237infos, cette branche n'est pas plafonnée (calcul sur la totalité du salaire) ; infospratiques.cm affiche 750 000 FCFA – point non tranché. Le groupe applicable à une activité e-commerce + livraison moto n'a pas été trouvé (voir gaps) : retenir 1,75 % pour bureaux/studio et prévoir jusqu'à 2,5–5 % pour l'activité livraison/manutention.</t>
  </si>
  <si>
    <t xml:space="preserve">cfc_patronal</t>
  </si>
  <si>
    <t xml:space="preserve">Crédit Foncier du Cameroun (CFC) – contribution patronale</t>
  </si>
  <si>
    <t xml:space="preserve">% de la masse salariale brute (avantages en nature inclus)</t>
  </si>
  <si>
    <t xml:space="preserve">CGI en vigueur 2025-2026</t>
  </si>
  <si>
    <t xml:space="preserve">Les autres retenues sur les salaires – Ministère des Finances (MINFI)</t>
  </si>
  <si>
    <t xml:space="preserve">MINFI : prélèvement parafiscal au profit du Crédit Foncier, 1,5 % à la charge de l'employeur sur les rémunérations, y compris avantages en espèces et en nature. Confirmé par PwC (« 1% … paid by the employee and 1.5% paid by the employer »). Base arrondie au millier inférieur (CGI art. 6 selon lefisk.cm).</t>
  </si>
  <si>
    <t xml:space="preserve">fne_patronal</t>
  </si>
  <si>
    <t xml:space="preserve">Fonds National de l'Emploi (FNE) – contribution patronale</t>
  </si>
  <si>
    <t xml:space="preserve">% du salaire brut imposable</t>
  </si>
  <si>
    <t xml:space="preserve">PwC : « Contributions for the National Employment Fund (FNE) are made at the rate of 1% of taxable salary paid by the employer ». Exclusivement patronal ; non plafonné selon le guide de paie Mercans (dsr.mercans.com) ; Camer.be l'applique à la masse salariale totale. Le simulateur lefisk.cm l'applique au plafond de 750 000 FCFA – divergence.</t>
  </si>
  <si>
    <t xml:space="preserve">charges_patronales_total</t>
  </si>
  <si>
    <t xml:space="preserve">Total des charges patronales obligatoires sur salaire (calcul à partir des taux sourcés)</t>
  </si>
  <si>
    <t xml:space="preserve">% du salaire brut (sous le plafond CNPS de 750 000 FCFA)</t>
  </si>
  <si>
    <t xml:space="preserve">Calcul : CNPS (annuaire 2023/2025, CLEISS) + CFC (MINFI) + FNE (PwC)</t>
  </si>
  <si>
    <t xml:space="preserve">Calcul de l'analyste, aucun chiffre inventé : pension 4,2 % + prestations familiales 7 % + AT 1,75 % (groupe A) à 5 % (groupe C) + CFC 1,5 % + FNE 1 % = 15,45 % à 18,7 %. Au-delà de 750 000 FCFA/mois, pension et prestations familiales ne s'appliquent plus sur la fraction excédentaire (AT, CFC, FNE oui). Hors 13e mois, congés, primes conventionnelles, médecine du travail ou assurance santé privée.</t>
  </si>
  <si>
    <t xml:space="preserve">cfc_salarial</t>
  </si>
  <si>
    <t xml:space="preserve">Crédit Foncier – part salariale retenue à la source</t>
  </si>
  <si>
    <t xml:space="preserve">% du salaire brut taxable</t>
  </si>
  <si>
    <t xml:space="preserve">1 % à la charge du salarié (PwC ; Camer.be « Stop à l'arnaque sur les salaires » : employés 1 % du brut taxable, employeurs 1,5 % de la masse salariale).</t>
  </si>
  <si>
    <t xml:space="preserve">irpp_bareme</t>
  </si>
  <si>
    <t xml:space="preserve">IRPP sur salaires – barème progressif annuel (taux de base, hors CAC)</t>
  </si>
  <si>
    <t xml:space="preserve">% (tranches annuelles du revenu net imposable)</t>
  </si>
  <si>
    <t xml:space="preserve">Fiche PwC revue au 31/12/2025 ; aucun changement identifié dans les LF 2025/2026</t>
  </si>
  <si>
    <t xml:space="preserve">Cameroon – Individual – Taxes on personal income – PwC Worldwide Tax Summaries</t>
  </si>
  <si>
    <t xml:space="preserve">https://taxsummaries.pwc.com/republic-of-cameroon/individual/taxes-on-personal-income</t>
  </si>
  <si>
    <t xml:space="preserve">PwC donne les taux CAC incluse : 11 % jusqu'à 2 M FCFA, 16,5 % de 2 à 3 M, 27,5 % de 3 à 5 M, 38,5 % au-delà de 5 M ; soit en taux de base 10 % / 15 % / 25 % / 35 % + 10 % de CAC (Safeguard Global ; kamerpower citant l'art. 69 CGI). Certains simulateurs (countrytaxcalc) placent le seuil de la dernière tranche à 10 M FCFA – minoritaire. La circulaire LF 2026 (lefisk.cm) ne mentionne qu'une hausse de l'abattement sur revenus exceptionnels (25 % → 35 %), pas de changement du barème salarial.</t>
  </si>
  <si>
    <t xml:space="preserve">irpp_seuil_mensuel</t>
  </si>
  <si>
    <t xml:space="preserve">Seuil de déclenchement de la retenue IRPP sur salaire</t>
  </si>
  <si>
    <t xml:space="preserve">FCFA/mois (salaire)</t>
  </si>
  <si>
    <t xml:space="preserve">L'impôt sur le revenu des personnes physiques en bref – MINFI</t>
  </si>
  <si>
    <t xml:space="preserve">https://minfi.gov.cm/impots-et-taxes-appliquees/</t>
  </si>
  <si>
    <t xml:space="preserve">MINFI : « Seuls les salaires d'un montant égal ou supérieur à 62 000 francs CFA supportent une retenue à la source au titre de l'IRPP. » Un salarié au SMIG (60 000 FCFA) n'est donc pas soumis à la retenue IRPP.</t>
  </si>
  <si>
    <t xml:space="preserve">irpp_abattements</t>
  </si>
  <si>
    <t xml:space="preserve">IRPP – abattements : abattement fixe annuel (+ 30 % de frais professionnels)</t>
  </si>
  <si>
    <t xml:space="preserve">FCFA/an (abattement fixe) ; frais professionnels 30 %</t>
  </si>
  <si>
    <t xml:space="preserve">CGI art. 69 ; repris par simulateurs 2026</t>
  </si>
  <si>
    <t xml:space="preserve">Barème fiscalité du Cameroun – Kamerpower (art. 69 CGI)</t>
  </si>
  <si>
    <t xml:space="preserve">https://kamerpower.com/fr/bareme-fiscalite-du-cameroun-bareme-impots/</t>
  </si>
  <si>
    <t xml:space="preserve">Base imposable = salaire brut taxable − 30 % frais professionnels − cotisation CNPS salariale − abattement de 500 000 FCFA/an, puis barème, le tout ramené au mois (lefisk.cm, easyvisa.cm). Un site indique un plafonnement des 30 % à 3 M FCFA/an (non confirmé). Texte officiel de l'art. 69 non consulté directement.</t>
  </si>
  <si>
    <t xml:space="preserve">cac_irpp</t>
  </si>
  <si>
    <t xml:space="preserve">Centimes additionnels communaux (CAC) sur IRPP</t>
  </si>
  <si>
    <t xml:space="preserve">% du montant de l'IRPP</t>
  </si>
  <si>
    <t xml:space="preserve">Les CAC sont « rattachés à l'IRPP et liquidés à hauteur de 10 % de son montant » (fiscafinance.com, lefisk.cm) ; PwC présente le barème CAC incluse (×1,1).</t>
  </si>
  <si>
    <t xml:space="preserve">rav_crtv</t>
  </si>
  <si>
    <t xml:space="preserve">Redevance audiovisuelle (RAV/CRTV) – retenue salariale forfaitaire par tranche</t>
  </si>
  <si>
    <t xml:space="preserve">2025-2026 (barème issu de l'ordonnance de 1989)</t>
  </si>
  <si>
    <t xml:space="preserve">Bulletin de paie Cameroun 2025 : modèle Excel – CNPS IRPP CAC calcul et formules – Lefisk</t>
  </si>
  <si>
    <t xml:space="preserve">https://lefisk.cm/blog/bulletin-de-paie-cameroun-modele-excel-pdf-word</t>
  </si>
  <si>
    <t xml:space="preserve">Barème forfaitaire sur le brut mensuel : 0 jusqu'à 50 000 FCFA ; 750 de 50 001 à 100 000 ; 1 950 de 100 001 à 200 000 ; 3 250 de 200 001 à 300 000 … ; maximum 13 000 FCFA au-delà de 1 000 000 FCFA (countrytaxcalc citant PwC). Mêmes valeurs dans un cours IRPP (scribd 728608621). Charge salariale uniquement (Sage). Barème officiel du CGI non consulté directement.</t>
  </si>
  <si>
    <t xml:space="preserve">tdl_salaries</t>
  </si>
  <si>
    <t xml:space="preserve">Taxe de développement local (TDL) – retenue salariale forfaitaire par tranche</t>
  </si>
  <si>
    <t xml:space="preserve">2025-2026 (loi de 2009 sur la fiscalité locale)</t>
  </si>
  <si>
    <t xml:space="preserve">Expatrié au Cameroun : quelle fiscalité ? – Richelieu International</t>
  </si>
  <si>
    <t xml:space="preserve">https://www.richelieu-international.com/expatrie-cameroun-fiscalite/</t>
  </si>
  <si>
    <t xml:space="preserve">Forfait par tranche de salaire, plafonné à 30 000 FCFA/an (soit 2 500 FCFA/mois) selon Richelieu International. Cours IRPP scanné (scribd) : 250 FCFA (~62 000–75 000), 500 (75 001–100 000), 750 (100 001–125 000)… Countrytaxcalc (citant PwC) : jusqu'à ~2 520 FCFA/mois pour salaires &gt; 500 000. Barème officiel non vérifié ; montant négligeable dans le coût total.</t>
  </si>
  <si>
    <t xml:space="preserve">conges_payes</t>
  </si>
  <si>
    <t xml:space="preserve">Congés payés légaux (Code du travail, loi 92/007)</t>
  </si>
  <si>
    <t xml:space="preserve">jour ouvrable par mois de service effectif (≈ 18 j/an) + 2 j par tranche de 5 ans d'ancienneté</t>
  </si>
  <si>
    <t xml:space="preserve">Loi n°92/007 du 14/08/1992 (en vigueur)</t>
  </si>
  <si>
    <t xml:space="preserve">Loi n°92/007 du 14 août 1992 portant Code du Travail – texte publié par l'OIT</t>
  </si>
  <si>
    <t xml:space="preserve">https://www.ilo.org/sites/default/files/wcmsp5/groups/public/@africa/@ro-abidjan/@sro-yaounde/documents/genericdocument/wcms_323616.pdf</t>
  </si>
  <si>
    <t xml:space="preserve">Art. 89 : un jour et demi ouvrable par mois de service effectif, sauf dispositions plus favorables (convention/contrat) ; art. 90(3) : majoration de 2 jours ouvrables par période de 5 ans de service. Confirmé par wageindicator.org (Cameroun). Selon un site, la convention du commerce prévoit 2 j/mois (non vérifié). Allocation de congé : un blog évoque 1/16e de la rémunération de la période de référence – non confirmé. Prévoir ≈ 1/12 de la masse salariale annuelle en provision congés.</t>
  </si>
  <si>
    <t xml:space="preserve">treizieme_mois_commerce</t>
  </si>
  <si>
    <t xml:space="preserve">13e mois – convention collective nationale du commerce (généralisation)</t>
  </si>
  <si>
    <t xml:space="preserve">mois de salaire catégoriel (+ prime d'ancienneté) par an</t>
  </si>
  <si>
    <t xml:space="preserve">Version de la convention antérieure à la révision du 16/01/2024</t>
  </si>
  <si>
    <t xml:space="preserve">Convention Collective Nationale du Commerce (texte PDF)</t>
  </si>
  <si>
    <t xml:space="preserve">Art. 91 : « Les parties contractantes conviennent de la généralisation du treizième mois dans toutes les entreprises de la branche d'activité au bénéfice des travailleurs comptant une présence effective de douze mois dans l'entreprise », assis sur le salaire catégoriel + prime d'ancienneté ; art. 90 : gratification de fin d'année à défaut. Le Code du travail n'impose pas de 13e mois. Maintien de la clause dans la convention révisée de 2024 non vérifié.</t>
  </si>
  <si>
    <t xml:space="preserve">duree_legale_travail</t>
  </si>
  <si>
    <t xml:space="preserve">Durée légale du travail (établissements non agricoles)</t>
  </si>
  <si>
    <t xml:space="preserve">heures/semaine</t>
  </si>
  <si>
    <t xml:space="preserve">Code du travail art. 80 ; convention commerce art. 49-50</t>
  </si>
  <si>
    <t xml:space="preserve">Gestion du temps de travail et mobilisation des employés – cas de Congelcam SA (Memoire Online)</t>
  </si>
  <si>
    <t xml:space="preserve">https://www.memoireonline.com/04/19/10743/m_Gestion-du-temps-de-travail-et-mobilisation-des-employes-Cas-de-Congelcam-sa31.html</t>
  </si>
  <si>
    <t xml:space="preserve">Art. 80 : 40 h/semaine dans les établissements publics ou privés non agricoles (2 400 h/an plafonnées à 48 h/semaine en agricole). Convention commerce : durée légale 40 h (art. 49), équivalence 45 h pour certains personnels de vente (art. 50). Taux de majoration des heures supplémentaires contradictoires selon les sources (non retenus). Important pour dimensionner les rotations hub/gardiennage 7j/7.</t>
  </si>
  <si>
    <t xml:space="preserve">convention_commerce_2024_revalorisation</t>
  </si>
  <si>
    <t xml:space="preserve">Convention collective nationale du commerce révisée (16/01/2024) – revalorisation de la grille</t>
  </si>
  <si>
    <t xml:space="preserve">% de hausse selon catégorie</t>
  </si>
  <si>
    <t xml:space="preserve">Entrée en vigueur 16/01/2024 (effet 01/01/2024)</t>
  </si>
  <si>
    <t xml:space="preserve">Les innovations de la Convention Collective Nationale du Commerce 2024 – The Moka Law Firm</t>
  </si>
  <si>
    <t xml:space="preserve">https://themokalawfirm.com/les-innovations-de-la-convention-collective-nationale-du-commerce-2024/</t>
  </si>
  <si>
    <t xml:space="preserve">+30 % catégories I à III ; +11 % IV-V ; +7,5 % VI-VIII ; +4 % IX-XII (art. 70). Abroge la convention de 2017 (droitmediasfinance.com). Grille de 12 catégories × 8 échelons ; les montants 2024 par catégorie n'ont pas été trouvés. Une annexe (juriafrica) affiche 46 518 FCFA en cat. I éch. A, sans date : inférieur au SMIG 60 000, donc obsolète – le SMIG prime.</t>
  </si>
  <si>
    <t xml:space="preserve">indemnite_transport_commerce</t>
  </si>
  <si>
    <t xml:space="preserve">Indemnité de transport – convention commerce 2024</t>
  </si>
  <si>
    <t xml:space="preserve">FCFA par jour effectif de travail</t>
  </si>
  <si>
    <t xml:space="preserve">2024</t>
  </si>
  <si>
    <t xml:space="preserve">CAMEROUN : La convention collective nationale du commerce révisée – Droit Médias Finance</t>
  </si>
  <si>
    <t xml:space="preserve">« L'indemnité de transport passe de 1 000 à 1 300 FCFA par jour effectif de travail. » ≈ 28 600 FCFA/mois pour 22 jours. Primes de caisse : 26 000 (caissier secondaire) à 33 000 FCFA/mois (principal).</t>
  </si>
  <si>
    <t xml:space="preserve">salaire_manutentionnaire</t>
  </si>
  <si>
    <t xml:space="preserve">Manutentionnaire / agent de hub – salaire mensuel de marché</t>
  </si>
  <si>
    <t xml:space="preserve">Salaires à Douala en 2026 : grille complète par secteur et métier – OpenShores</t>
  </si>
  <si>
    <t xml:space="preserve">OpenShores (2026) : manutentionnaire 80 000 à 120 000 XAF/mois (Douala ; pas de grille Yaoundé dédiée). Paylab (catégorie Transport-Logistique, paylab.com/cm) : ~85 132 à 198 077 XAF brut (association métier/chiffre incertaine). Journaliers : 3 000 à 12 000 FCFA/jour, moyenne 7 000 (sangoservices.com/fr/salaires/manual_labor, 2026). Plancher légal : SMIG 60 000.</t>
  </si>
  <si>
    <t xml:space="preserve">salaire_magasinier</t>
  </si>
  <si>
    <t xml:space="preserve">Magasinier / aide-magasinier – salaire mensuel</t>
  </si>
  <si>
    <t xml:space="preserve">Salaires moyens au Cameroun – Douane, transit, logistique, transport – PIDERC</t>
  </si>
  <si>
    <t xml:space="preserve">PIDERC (article d'environ 2 ans) : magasinier « entre 138 000 CFA et 250 000 CFA » (exemples 96 000 à 105 000 dans certaines PME ; jusqu'à 269 000 chez UCB, montants très supérieurs dans les multinationales). Cameroondesks (liste d'emplois niveau BEPC/BAC, mars 2026) : « Pointeur et Aide-Magasinier : 85 000 FCFA à 130 000 FCFA ». Chef magasinier : salaire « à négocier » (minajobs, juin 2026).</t>
  </si>
  <si>
    <t xml:space="preserve">livreur_moto_salarie</t>
  </si>
  <si>
    <t xml:space="preserve">Livreur moto salarié – salaire fixe mensuel</t>
  </si>
  <si>
    <t xml:space="preserve">FCFA/mois (hors primes)</t>
  </si>
  <si>
    <t xml:space="preserve">Salaires moyens au Cameroun par secteur en 2026 – Job Cameroun</t>
  </si>
  <si>
    <t xml:space="preserve">Job Cameroun (2026) : « Livreur moto : 60 000 – 100 000 FCFA/mois ». Annonce Yaoundé (Calltrack Solutions / Colimex Livraison, clôture 30/11/2025, cameroondesks.com/2024/09/offre-demploi-livreurscoursiers-moto-vantrack-logistique.html) : « Salaire compris entre 70 000 et 90 000 FCFA » + prime de productivité journalière, permis A exigé. Annonce Douala (emploi.cm/offre-emploi-cameroun/livreur-colis-moto-tricycle-917792, ancienne) : 85 000 FCFA pour 160 h, jusqu'à 135 000 FCFA avec primes (20 puis 30 livraisons/jour). Le fixe doit respecter le SMIG 60 000.</t>
  </si>
  <si>
    <t xml:space="preserve">livreur_moto_par_course</t>
  </si>
  <si>
    <t xml:space="preserve">Livraison de colis par moto-taxi indépendant – prix moyen par course à Yaoundé</t>
  </si>
  <si>
    <t xml:space="preserve">FCFA/course</t>
  </si>
  <si>
    <t xml:space="preserve">Livraison des colis : les motos-taxis facilitent la tâche – Cameroon Tribune</t>
  </si>
  <si>
    <t xml:space="preserve">Un moto-taximan du marché d'Ekounou (Yaoundé) donne un tarif moyen de 1 500 à 2 500 FCFA ; plus de 40 % de ses courses sont des livraisons de colis ; un coursier payé à la course indique 12 à 15 livraisons/jour. Article payant, seul l'extrait a été lu. Alternative au salariat (modèle à la course).</t>
  </si>
  <si>
    <t xml:space="preserve">salaire_chauffeur_vl</t>
  </si>
  <si>
    <t xml:space="preserve">Chauffeur véhicule léger / chauffeur-livreur – salaire mensuel</t>
  </si>
  <si>
    <t xml:space="preserve">Job Cameroun (2026) : chauffeur particulier 80 000–150 000 FCFA/mois ; poids lourd 100 000–180 000. Infospratiques.cm (2026) : chauffeur 60 000–120 000. Annonce Yaoundé chauffeur privé (emploi.cm/offre-emploi-cameroun/chauffeur-prive-personnel-yaounde-961192, expirée) : 125 000 FCFA net + primes de mission (10 ans d'expérience). La plupart des annonces 2026 (AGZ Group, Le Pélerin, OAPI) n'affichent pas le salaire.</t>
  </si>
  <si>
    <t xml:space="preserve">salaire_agent_securite</t>
  </si>
  <si>
    <t xml:space="preserve">Agent de sécurité / gardien salarié – salaire mensuel</t>
  </si>
  <si>
    <t xml:space="preserve">Salaire Moyen Cameroun 2026 : par secteur, métier et expérience – Infospratiques</t>
  </si>
  <si>
    <t xml:space="preserve">Infospratiques : « Agent de sécurité : 50 000 – 80 000 FCFA/mois ». Glassdoor (mai 2026) : salaire de base moyen ≈ 50 000, fourchette 40 000–80 000 FCFA. Le bas de fourchette est sous le SMIG privé (60 000) : pour un emploi déclaré, retenir 60 000 minimum. Convention collective nationale du gardiennage signée en 2019 (12 catégories, afriquebelgique.news).</t>
  </si>
  <si>
    <t xml:space="preserve">prix_poste_gardiennage_societe</t>
  </si>
  <si>
    <t xml:space="preserve">Prestation de gardiennage par société agréée – prix facturé par agent</t>
  </si>
  <si>
    <t xml:space="preserve">FCFA/mois par agent (chef de poste : 210 000)</t>
  </si>
  <si>
    <t xml:space="preserve">2020 (mercuriale)</t>
  </si>
  <si>
    <t xml:space="preserve">Gardiennage – Mercuriale de prix 2020 – Magazine Comptable-Matières (lacooperative.cm)</t>
  </si>
  <si>
    <t xml:space="preserve">Mercuriale 2020 : agent de sécurité simple 135 000 FCFA/mois ; vigile simple (Panthère Security) 150 000 FCFA/mois ; chef de poste 210 000 FCFA/mois. Données de 2020, probablement plus élevées aujourd'hui. Un poste 24h/24 nécessite plusieurs agents en rotation (40 h/semaine légales). Mercuriale 2026 (lefisk.cm/outils/mercuriale) payante, non consultée.</t>
  </si>
  <si>
    <t xml:space="preserve">salaire_receptionniste</t>
  </si>
  <si>
    <t xml:space="preserve">Réceptionniste – salaire mensuel</t>
  </si>
  <si>
    <t xml:space="preserve">Bilingual Receptionist (Réceptionniste bilingue) – Yaoundé – 80 000 F CFA par mois – EmploisCameroun</t>
  </si>
  <si>
    <t xml:space="preserve">Offre du 01/07/2026, CDI, hôtellerie, Yaoundé : 80 000 FCFA/mois. OpenShores (Kribi, 2026) : réceptionniste 70 000 à 120 000 XAF. Infospratiques : secrétaire/assistant 80 000–150 000. Stages : 30 000–50 000 FCFA (annonce 2021).</t>
  </si>
  <si>
    <t xml:space="preserve">salaire_community_manager</t>
  </si>
  <si>
    <t xml:space="preserve">Community manager – salaire mensuel</t>
  </si>
  <si>
    <t xml:space="preserve">2019-2026</t>
  </si>
  <si>
    <t xml:space="preserve">Community manager au Cameroun : compétences, formation, IA – Econuma</t>
  </si>
  <si>
    <t xml:space="preserve">Econuma (2026) : salaire moyen « stagne à 200 000 FCFA par mois, tous niveaux confondus » ; stagiaire/junior (&lt; 2 ans) 40 000–100 000 FCFA. Histoiresdecm.com (enquête 2016-2023) : pic à 250 000 FCFA en 2019, 150 000 FCFA en 2020. Freelance à Yaoundé : 80 000–200 000 XAF (OpenShores).</t>
  </si>
  <si>
    <t xml:space="preserve">prestation_photo_produit</t>
  </si>
  <si>
    <t xml:space="preserve">Photographie produit e-commerce externalisée – tarif agence à Yaoundé</t>
  </si>
  <si>
    <t xml:space="preserve">FCFA/heure de shooting (+ 500 FCFA/photo retouchée)</t>
  </si>
  <si>
    <t xml:space="preserve">≈ 2022</t>
  </si>
  <si>
    <t xml:space="preserve">Photographe professionnel à Yaoundé – Sabma Digital</t>
  </si>
  <si>
    <t xml:space="preserve">https://sabmadigital.com/cm/services/photographie/photographie-professionnelle/</t>
  </si>
  <si>
    <t xml:space="preserve">Grille de Sabma Digital pour la photo de produits de boutiques en ligne : « 100 000 FCFA/H » de photographie et « 500 FCFA/photo » de retouche. Page d'environ 4 ans. Aucune donnée fiable de salaire de photographe produit salarié trouvée (voir gaps) – sert de coût d'opportunité face à l'internalisation du Studio Premium.</t>
  </si>
  <si>
    <t xml:space="preserve">salaire_videaste_monteur</t>
  </si>
  <si>
    <t xml:space="preserve">Vidéaste / monteur vidéo – salaire mensuel débutant à confirmé</t>
  </si>
  <si>
    <t xml:space="preserve">2024-2025</t>
  </si>
  <si>
    <t xml:space="preserve">Reconversion professionnelle : 15 métiers porteurs sans diplôme en 2026 – CameroonDesks</t>
  </si>
  <si>
    <t xml:space="preserve">CameroonDesks (déc. 2025) : monteur vidéo débutant 50 000 à 150 000 FCFA/mois ; freelance expérimenté 300 000 à 1 000 000 FCFA/mois ; photographe/vidéaste événementiel 50 000–500 000 FCFA par événement. Offre Douala GoAfrica (sept. 2024, goafricaonline.com/cm/emploi/job-929-infographiste-et-monteur-video) : infographiste-monteur, stage 3 mois à 30 000 puis 90 000 FCFA/mois. Profil haut de gamme pour studio premium probablement au-dessus.</t>
  </si>
  <si>
    <t xml:space="preserve">salaire_graphiste</t>
  </si>
  <si>
    <t xml:space="preserve">Graphiste / infographiste – salaire de base mensuel</t>
  </si>
  <si>
    <t xml:space="preserve">Mai 2026</t>
  </si>
  <si>
    <t xml:space="preserve">Salaire : Graphiste (mai 2026) – Cameroun – Glassdoor</t>
  </si>
  <si>
    <t xml:space="preserve">Glassdoor : fourchette de base 100 k à 375 k FCFA/mois, moyenne 275 k – sur seulement 4 salaires déclarés. Pem's Recruitment (grille 2026) : UX/UI designer 350 k junior, 700 k confirmé, 1,2 M senior (profil plus qualifié).</t>
  </si>
  <si>
    <t xml:space="preserve">salaire_dev_fullstack</t>
  </si>
  <si>
    <t xml:space="preserve">Développeur web / full-stack – salaire mensuel brut</t>
  </si>
  <si>
    <t xml:space="preserve">Salaires au Cameroun en 2026 : la grille de référence par métier – Pem's Recruitment</t>
  </si>
  <si>
    <t xml:space="preserve">Pem's (fourchettes brutes mensuelles actualisées en septembre 2026, observées sur leurs offres) : développeur full-stack 400 k junior, 800 k confirmé, 1,4 M senior ; DevOps confirmé 1 M. Job Cameroun (2026) : développeur web junior 150 000–250 000, senior 300 000–600 000. Africarrières : ingénieur informatique 2-5 ans 400 000–650 000 ; chef de projet IT senior 700 000–1 200 000.</t>
  </si>
  <si>
    <t xml:space="preserve">salaire_analyste_data_marketing</t>
  </si>
  <si>
    <t xml:space="preserve">Analyste data / marketing digital – salaire mensuel</t>
  </si>
  <si>
    <t xml:space="preserve">Cameroon Salary Guide 2026 (by Sector, in FCFA) – SangoServices</t>
  </si>
  <si>
    <t xml:space="preserve">SangoServices : data analyst junior 200 000–350 000, intermédiaire 350 000–700 000, senior 700 000–1 200 000. Pem's Recruitment 2026 : data analyst 400 k junior / 750 k confirmé / 1,3 M senior ; growth marketer digital junior 400 k. GMS Consulting : marketing digital débutant 250 000 en petite entreprise, 400 000–600 000 en moyenne/grande entreprise.</t>
  </si>
  <si>
    <t xml:space="preserve">salaire_hub_manager_logistique</t>
  </si>
  <si>
    <t xml:space="preserve">Responsable logistique / gestionnaire de hub – salaire mensuel</t>
  </si>
  <si>
    <t xml:space="preserve">Formation Supply Chain et Logistique internationale au Cameroun : salaires, débouchés – PIDERC</t>
  </si>
  <si>
    <t xml:space="preserve">PIDERC (2025) : logisticien/responsable logistique ≈ 450 000–800 000 XAF/mois, plus élevé à Douala/Yaoundé ; supply chain manager 700 000 à &gt; 1 000 000. OpenShores (Douala 2026) : secteur portuaire/logistique 350 000–600 000 XAF. Glassdoor « gestionnaire logistique » non exploitable (échantillon minuscule, annuel/mensuel incohérent).</t>
  </si>
  <si>
    <t xml:space="preserve">salaire_comptable</t>
  </si>
  <si>
    <t xml:space="preserve">Comptable – salaire mensuel</t>
  </si>
  <si>
    <t xml:space="preserve">Infospratiques : comptable 150 000–400 000 FCFA/mois. Pem's Recruitment 2026 : comptable général 250 k junior, 500 k confirmé, 900 k senior. Glassdoor Yaoundé (2026) : base mensuelle 140 k–575 k FCFA, moyenne ≈ 204 k (petit échantillon).</t>
  </si>
  <si>
    <t xml:space="preserve">salaire_directeur_general</t>
  </si>
  <si>
    <t xml:space="preserve">Directeur général / directeur administratif et financier – salaire mensuel</t>
  </si>
  <si>
    <t xml:space="preserve">Infospratiques : directeur d'entreprise 1 000 000–5 000 000 FCFA/mois, sans précision de taille. Pem's Recruitment 2026 : directeur financier 1,2 M junior, 2,5 M confirmé, 4 M+ senior. Repère public (décret du 19/06/2019, newsducamer.com) : DG d'entreprises publiques 2 M à 6 M FCFA de base selon catégorie (+1/5 indemnité de responsabilité, +1/7 de représentation). SangoServices : CFO débutant 300 000–500 000, 700 000–1 500 000 après 5 ans. Pas de donnée PME privée fiable.</t>
  </si>
  <si>
    <t xml:space="preserve">salaire_moyen_formel_yaounde</t>
  </si>
  <si>
    <t xml:space="preserve">Salaire moyen du secteur formel à Yaoundé (repère global)</t>
  </si>
  <si>
    <t xml:space="preserve">Salaires à Yaoundé en 2026 : rémunérations dans la capitale politique – OpenShores</t>
  </si>
  <si>
    <t xml:space="preserve">OpenShores : salaire moyen à Yaoundé 160 000–200 000 XAF. Les Afriques (juin 2026) : secteur formel 180 000–250 000 FCFA (Yaoundé), 250 000–400 000 (Douala). Paylab Cameroun : brut 98 886 à 321 803 XAF. Repère de cohérence uniquement.</t>
  </si>
  <si>
    <t xml:space="preserve">immo_cm</t>
  </si>
  <si>
    <t xml:space="preserve">terrain_odza_annonce_titre</t>
  </si>
  <si>
    <t xml:space="preserve">Terrain titré à Odza (Yaoundé), annonce 500 m²</t>
  </si>
  <si>
    <t xml:space="preserve">FCFA/m2</t>
  </si>
  <si>
    <t xml:space="preserve">2025-2026 (annonce en ligne)</t>
  </si>
  <si>
    <t xml:space="preserve">Expat.com : Magnifique opportunité d'un terrain titré de 500 m² à vendre à Odza</t>
  </si>
  <si>
    <t xml:space="preserve">https://www.expat.com/fr/immobilier/afrique/cameroun/yaounde/44-terrains-a-vendre/803988-magnifique-opportunite-dun-terrain-titre-de-500m2-a-vendre-a-odza.html</t>
  </si>
  <si>
    <t xml:space="preserve">Annonce : terrain titré de 500 m² à environ 200 m de la route principale, prix 31 500 000 FCFA, soit 63 000 FCFA/m² (calcul), environ 96,04 EUR/m². Prix demandé par le vendeur, pas un prix de transaction. Accès réseau restreint : la page n'a pas été ouverte directement, le chiffre provient de l'extrait indexé par le moteur de recherche.</t>
  </si>
  <si>
    <t xml:space="preserve">terrain_odza_nsimeyong_fourchette</t>
  </si>
  <si>
    <t xml:space="preserve">Terrain à Odza / Nsimeyong (Yaoundé), fourchette guide 2026</t>
  </si>
  <si>
    <t xml:space="preserve">2026-09</t>
  </si>
  <si>
    <t xml:space="preserve">Les Afriques : Investir dans l'immobilier au Cameroun, prix, rendements et cadre légal 2026</t>
  </si>
  <si>
    <t xml:space="preserve">https://lesafriques.com/2026/09/investir-dans-limmobilier-au-cameroun-prix-rendements-et-cadre-legal-2026/</t>
  </si>
  <si>
    <t xml:space="preserve">Le guide situe Nsimeyong et Odza entre 10 000 et 30 000 FCFA/m² (15,24 à 45,73 EUR/m²). Il ne distingue pas terrain titré et non titré. Une liste camer.be non datée indique « Odza : à partir de 15 000 FCFA/m² ». Comparé à l'annonce titrée à 63 000 FCFA/m², le titre foncier et la proximité de l'axe principal font monter fortement le prix. Extrait relevé via le moteur de recherche, page non ouverte directement.</t>
  </si>
  <si>
    <t xml:space="preserve">terrain_nsimalen</t>
  </si>
  <si>
    <t xml:space="preserve">Terrain à Nsimalen (Yaoundé, zone aéroport), prix plancher</t>
  </si>
  <si>
    <t xml:space="preserve">non daté (liste consultée en 2026)</t>
  </si>
  <si>
    <t xml:space="preserve">Camer.be : Terrains et biens immobiliers à vendre à Yaoundé et environs</t>
  </si>
  <si>
    <t xml:space="preserve">https://www.camer.be/actualites/societe/cameroun-terrains-et-biens-immobiliers-a-vendre-a-yaounde-et-environs-cameroon.html</t>
  </si>
  <si>
    <t xml:space="preserve">Texte : « Nsimalen : à partir de 10 000 FCFA/m² (selon emplacement) », soit 15,24 EUR/m². C'est un prix d'appel minimum, et la source ne dit pas si le terrain est titré ; un terrain titré en bord de route sera plus cher. La même liste donne Simbock et Odza à partir de 15 000, Tsinga village à partir de 15 000, Nkolondom à partir de 10 000 et Mfou à partir de 4 000 FCFA/m². Liste non datée qui contient des incohérences signalées. Extrait relevé via le moteur de recherche.</t>
  </si>
  <si>
    <t xml:space="preserve">terrain_olembe</t>
  </si>
  <si>
    <t xml:space="preserve">Terrain à Olembé (Yaoundé, zone du stade), prix plancher</t>
  </si>
  <si>
    <t xml:space="preserve">Texte : « Olembé (zone du stade) : à partir de 35 000 FCFA/m² », soit 53,36 EUR/m². Prix d'appel minimum, statut du titre non précisé. Extrait relevé via le moteur de recherche, page non ouverte directement.</t>
  </si>
  <si>
    <t xml:space="preserve">terrain_mvan_nkolbisson</t>
  </si>
  <si>
    <t xml:space="preserve">Terrain dans les quartiers intermédiaires de Yaoundé (Mvan, Biyem-Assi, Nkolbisson)</t>
  </si>
  <si>
    <t xml:space="preserve">non daté (guide consulté en 2026)</t>
  </si>
  <si>
    <t xml:space="preserve">Infospratiques.cm : Prix du terrain au Cameroun, Douala, Yaoundé et régions</t>
  </si>
  <si>
    <t xml:space="preserve">Le guide classe Mvan, Biyem-Assi et Nkolbisson parmi les quartiers intermédiaires, entre 25 000 et 50 000 FCFA/m² (38,11 à 76,22 EUR/m²). Le guide Les Afriques (sept. 2026) place Nlongkak et Mvan entre 25 000 et 60 000 FCFA/m². Mvan et Nsam abritent aussi la zone industrielle MAGZI de Yaoundé-Sud (316 ha en litige d'occupation selon la presse 2026). Extrait relevé via le moteur de recherche.</t>
  </si>
  <si>
    <t xml:space="preserve">terrain_peripherie_yaounde_soa</t>
  </si>
  <si>
    <t xml:space="preserve">Terrain en périphérie de Yaoundé (Soa, Nkoabang, Mbankomo)</t>
  </si>
  <si>
    <t xml:space="preserve">non daté (consulté en 2026)</t>
  </si>
  <si>
    <t xml:space="preserve">Fourchette « zones périphériques » de 5 000 à 25 000 FCFA/m² (7,62 à 38,11 EUR/m²), citant Soa, Mbankomo et Nkoabang. Le moteur de recherche a rattaché cette fourchette aux guides de prix camerounais, mais l'attribution exacte à cette page reste à vérifier. Aucune annonce titrée propre à Soa n'a été trouvée. Un terrain titré se situera probablement dans le haut de la fourchette.</t>
  </si>
  <si>
    <t xml:space="preserve">terrain_bastos_centre</t>
  </si>
  <si>
    <t xml:space="preserve">Terrain à Bastos / centre administratif de Yaoundé (quartiers premium)</t>
  </si>
  <si>
    <t xml:space="preserve">« Les terrains s'y échangent généralement entre 60 000 et 150 000 francs CFA le m² », pour Bastos et le centre administratif, avec des parcelles titrées nettement au-dessus (91,47 à 228,67 EUR/m²). Infospratiques.cm (p=157) donne une fourchette bien plus large, de 100 000 à 1 000 000 FCFA/m² pour Bastos et Nlongkak. Sert d'approximation pour le centre-ville et Mokolo, faute de donnée propre à ces quartiers.</t>
  </si>
  <si>
    <t xml:space="preserve">terrain_fouda_titre_annonce</t>
  </si>
  <si>
    <t xml:space="preserve">Terrain titré de 981 m² à Fouda (Yaoundé intra-muros), annonce</t>
  </si>
  <si>
    <t xml:space="preserve">2025-08-23</t>
  </si>
  <si>
    <t xml:space="preserve">Camer.be : Yaoundé, un terrain stratégique de 981 m² mis en vente quartier Fouda</t>
  </si>
  <si>
    <t xml:space="preserve">https://www.camer.be/90379/19:16/cameroun-yaounde-un-terrain-strategique-de-981-m2-mis-en-vente-quartier-fouda-cameroon.html</t>
  </si>
  <si>
    <t xml:space="preserve">Terrain titré de 981 m² proposé à 230 millions FCFA, soit environ 234 455 FCFA/m² (calcul), environ 357,4 EUR/m². C'est un prix demandé pour un terrain urbain stratégique : il sert de plafond pour un siège en ville, pas de référence pour un hub. Une autre liste du même site donne un prix différent, il faut donc le vérifier.</t>
  </si>
  <si>
    <t xml:space="preserve">terrain_magzi_decret_2025</t>
  </si>
  <si>
    <t xml:space="preserve">Prix de vente officiel des terrains en zones industrielles MAGZI (décret du 12/02/2025)</t>
  </si>
  <si>
    <t xml:space="preserve">2025-02-12</t>
  </si>
  <si>
    <t xml:space="preserve">Cameroun24 : Le gouvernement camerounais met en vente les terrains de la MAGZI à Yaoundé</t>
  </si>
  <si>
    <t xml:space="preserve">https://cameroun24.net/article/67913-le-gouvernement-camerounais-met-en-vente-les-terrains-de-la-magzi-a-yaounde.html</t>
  </si>
  <si>
    <t xml:space="preserve">Décret du Premier ministre Joseph Dion Ngute, signé le 12 février 2025, fixant les prix des ventes de terrains MAGZI : zone A 75 000, zone B 70 000, zone C 60 000 et zone D 50 000 FCFA/m² (76,22 à 114,34 EUR/m²), selon l'urbanisation, l'accessibilité et la proximité des services. L'article est centré sur Yaoundé (zones industrielles de Nsam et Mvan). La MAGZI gère aussi Douala-Bassa et Douala-Bonabéri, mais l'affectation de chaque site à une zone n'est pas précisée. Les entreprises locataires sont invitées à négocier directement avec la MAGZI. Litiges fonciers fréquents. Source de presse unique, extrait relevé via le moteur de recherche.</t>
  </si>
  <si>
    <t xml:space="preserve">terrain_domaine_prive_etat_minimum</t>
  </si>
  <si>
    <t xml:space="preserve">Prix minimum de cession des terrains du domaine privé de l'État, Yaoundé (Mfoundi)</t>
  </si>
  <si>
    <t xml:space="preserve">2014 (décret, en vigueur non confirmé)</t>
  </si>
  <si>
    <t xml:space="preserve">FAOLEX : décret fixant les prix minima applicables aux transactions sur les terrains relevant du domaine privé de l'État (Cameroun)</t>
  </si>
  <si>
    <t xml:space="preserve">https://faolex.fao.org/docs/pdf/cmr151392.pdf</t>
  </si>
  <si>
    <t xml:space="preserve">Le tableau donne Mfoundi/Yaoundé à 10 000 FCFA/m² (15,24 EUR/m²) et Mfou à 3 000 FCFA/m². Il s'agit d'un prix plancher administratif pour les terrains de l'État, pas d'un prix de marché. Le scan est partiellement illisible, et le numéro, la date exacte et la validité actuelle sont à vérifier.</t>
  </si>
  <si>
    <t xml:space="preserve">terrain_yassa_logbessou_guide</t>
  </si>
  <si>
    <t xml:space="preserve">Terrain à Yassa / Logbessou (Douala), fourchette guide 2026</t>
  </si>
  <si>
    <t xml:space="preserve">Le guide place Yassa et Logbessou entre 3 000 et 15 000 FCFA/m² (4,57 à 22,87 EUR/m²). Infospratiques.cm (p=157) classe Yassa en zone périphérique (8 000 à 20 000 FCFA/m²) et Logbessou en quartier résidentiel (50 000 à 200 000 FCFA/m²). Ces fourchettes concernent surtout des terrains non titrés éloignés des axes. Les annonces titrées ci-dessous sont bien plus chères.</t>
  </si>
  <si>
    <t xml:space="preserve">terrain_yassa_annonces_titre</t>
  </si>
  <si>
    <t xml:space="preserve">Terrains titrés à Yassa (Douala), annonces</t>
  </si>
  <si>
    <t xml:space="preserve">2025-2026 (annonces en ligne)</t>
  </si>
  <si>
    <t xml:space="preserve">Expat.com : Terrain titré de 400 m² à Yassa Nkolbong</t>
  </si>
  <si>
    <t xml:space="preserve">https://www.expat.com/fr/immobilier/afrique/cameroun/douala/44-terrains-a-vendre/796892-terrain-titre-de-400m2-a-yassa-nkolbong.html</t>
  </si>
  <si>
    <t xml:space="preserve">Terrain titré de 400 m² à Yassa Nkolbong à 70 000 FCFA/m² (106,71 EUR/m²). Seconde source : un terrain de 500 m² à Yassa Mbwang-Bakoko (mutation totale) à 35 000 FCFA/m² (53,36 EUR/m²), https://www.expat.com/fr/immobilier/afrique/cameroun/douala/44-terrains-a-vendre/796894-terrain-dune-superficie-de-500m2-en-vente-a-yassa-mbwang-bakoko.html. Ce sont des prix demandés. Extraits relevés via le moteur de recherche.</t>
  </si>
  <si>
    <t xml:space="preserve">terrain_logbessou_annonces</t>
  </si>
  <si>
    <t xml:space="preserve">Terrains à Logbessou (Douala), annonces</t>
  </si>
  <si>
    <t xml:space="preserve">Expat.com : 416 m² available in Logbessou opposite CRTV bar</t>
  </si>
  <si>
    <t xml:space="preserve">https://www.expat.com/en/housing/africa/cameroon/douala/44-land-for-sale/795516-416-m2-available-in-logbessou-opposite-crtv-bar.html</t>
  </si>
  <si>
    <t xml:space="preserve">Parcelle de 416 m² à 37 440 000 FCFA, négociable, en cours de goudronnage à 100 m de l'axe, soit 90 000 FCFA/m² (137,20 EUR/m²). Seconde annonce sur le même site : lot d'angle de 227 m² au stade Njoh à 17 000 000 FCFA, soit environ 74 890 FCFA/m² (114,17 EUR/m²). Les annonces ne précisent pas si le terrain est titré.</t>
  </si>
  <si>
    <t xml:space="preserve">terrain_bonaberi_annonces</t>
  </si>
  <si>
    <t xml:space="preserve">Terrains à Bonabéri / Bomono (Douala rive droite), annonces</t>
  </si>
  <si>
    <t xml:space="preserve">Expat.com : Terrain 1000 m² à vendre à Bonaberi Douala</t>
  </si>
  <si>
    <t xml:space="preserve">Terrain de 1 000 m² sur l'ancienne route de Bonabéri à 80 000 000 FCFA (« 80.000F/m2 », 121,96 EUR/m²), avec certificat disponible et dossier déjà chez le notaire. Seconde annonce : terrain titré de 500 m² à Bomono gare à 20 000 000 FCFA, soit 40 000 FCFA/m² (60,98 EUR/m²), avec une fondation R+2 sur 162 m², https://www.expat.com/fr/immobilier/afrique/cameroun/douala/44-terrains-a-vendre/794228-terrain-de-500m2-a-vendre-sis-a-bomono-gare.html. Certaines annonces datent d'environ 10 mois.</t>
  </si>
  <si>
    <t xml:space="preserve">terrain_bonapriso_douala</t>
  </si>
  <si>
    <t xml:space="preserve">Terrain à Bonapriso (Douala, quartier premium)</t>
  </si>
  <si>
    <t xml:space="preserve">Bonapriso : couramment de 80 000 à 200 000 FCFA/m² (121,96 à 304,90 EUR/m²). Une annonce de 2024 à « Nouveau Bonapriso » atteignait 350 000 FCFA/m². Sert de référence haute pour Douala, notamment pour un éventuel studio premium en ville.</t>
  </si>
  <si>
    <t xml:space="preserve">taille_parcelles_courantes</t>
  </si>
  <si>
    <t xml:space="preserve">Superficie typique des parcelles mises en vente (Yaoundé / Douala)</t>
  </si>
  <si>
    <t xml:space="preserve">m2</t>
  </si>
  <si>
    <t xml:space="preserve">Expat.com : terrains à vendre au Cameroun (listes d'annonces)</t>
  </si>
  <si>
    <t xml:space="preserve">https://www.expat.com/fr/immobilier/afrique/cameroun/terrains-a-vendre_3.html</t>
  </si>
  <si>
    <t xml:space="preserve">Les annonces relevées portent sur 227, 280, 400, 416, 500, 981, 995, 1 000 et 2 135 m². Les lots de 400 à 500 m² sont les plus fréquents, et ceux de 1 000 m² ou plus sont plus rares. Infospratiques.cm (p=157) prend un lot de 500 m² comme exemple, à environ 15 millions FCFA en périphérie de Douala. Un hub avec stockage, parking et studio demandera probablement de regrouper des lots ou de chercher des parcelles de 1 000 m² et plus.</t>
  </si>
  <si>
    <t xml:space="preserve">construction_standard_m2</t>
  </si>
  <si>
    <t xml:space="preserve">Coût de construction au m², finition standard (bâtiment courant)</t>
  </si>
  <si>
    <t xml:space="preserve">Infospratiques.cm : Coût de construction d'une maison au Cameroun</t>
  </si>
  <si>
    <t xml:space="preserve">Tableau 2026 : « Standard | 120 000 – 180 000 », avec carrelage, peinture de qualité et menuiserie aluminium (182,94 à 274,41 EUR/m²). Niveaux voisins : économique de 80 000 à 120 000 (finitions basiques, sol cimenté) et moyen standing de 180 000 à 280 000 FCFA/m² (carrelage premium, faux plafond). La source vise l'habitat, mais sert d'approximation pour des bureaux R+1. Elle précise que Douala et Yaoundé coûtent plus cher que le rural. Page non ouverte directement, extrait relevé via le moteur de recherche.</t>
  </si>
  <si>
    <t xml:space="preserve">construction_haut_standing_m2</t>
  </si>
  <si>
    <t xml:space="preserve">Coût de construction au m², haut standing (matériaux importés)</t>
  </si>
  <si>
    <t xml:space="preserve">« Haut standing | 280 000 – 450 000+ » : matériaux importés, domotique, piscine (426,86 à 686,02 EUR/m², plafond ouvert). Applicable à l'espace studio premium et aux bureaux de direction. Ce chiffre ne comprend ni le mobilier ni les équipements importés, à chiffrer à part avec le fret et les droits de douane.</t>
  </si>
  <si>
    <t xml:space="preserve">construction_immeuble_forum</t>
  </si>
  <si>
    <t xml:space="preserve">Coût de construction d'un immeuble (R+n) selon le standing, témoignages</t>
  </si>
  <si>
    <t xml:space="preserve">non daté (forum, années 2010-2020)</t>
  </si>
  <si>
    <t xml:space="preserve">Expat.com forum Cameroun : Construire au Cameroun (fils de discussion)</t>
  </si>
  <si>
    <t xml:space="preserve">https://www.expat.com/fr/forum/afrique/cameroun/261159-construire-au-cameroun.html</t>
  </si>
  <si>
    <t xml:space="preserve">Témoignages : immeuble R+ haut de gamme de 150 000 à 250 000 FCFA/m² selon les finitions ; « entre 200 000 et 300 000 FCFA le m² selon le standing » ; « pour un immeuble de même standing [moyen] environ 400 000 FCFA ». Ce sont des avis non vérifiés, issus de plusieurs fils Expat.com (261159 p.1 à 3, 986522 « budget d'un immeuble »). L'attribution exacte de chaque citation à un fil n'a pas pu être vérifiée. À utiliser seulement pour recouper les fourchettes infospratiques.</t>
  </si>
  <si>
    <t xml:space="preserve">construction_hangar_industriel_proxy_ci</t>
  </si>
  <si>
    <t xml:space="preserve">Coût d'un hangar industriel en charpente métallique, clé en main (référence Côte d'Ivoire)</t>
  </si>
  <si>
    <t xml:space="preserve">Goafricaonline : Hangar industriel en Côte d'Ivoire, la charpente métallique en pratique</t>
  </si>
  <si>
    <t xml:space="preserve">https://www.goafricaonline.com/ci/articles/1158-hangar-industriel-cote-divoire-charpente-metallique</t>
  </si>
  <si>
    <t xml:space="preserve">Côte d'Ivoire, et non Cameroun : faute de référence camerounaise, c'est l'approximation la plus proche (franc CFA à même parité avec l'euro). Hangar industriel clé en main de 80 000 à 200 000 FCFA/m² (121,96 à 304,90 EUR/m²) ; hangar simple à bardage tôle et sol en béton brut de 80 000 à 110 000 ; hangar agricole ou abri ouvert de 50 000 à 80 000 FCFA/m². Une fiche du cabinet doualais Konsiv cite un hangar à 15 753 150 FCFA, mais la surface y est incohérente (400 ou 1 000 m²), donc ce chiffre n'est pas exploitable.</t>
  </si>
  <si>
    <t xml:space="preserve">materiau_ciment_50kg</t>
  </si>
  <si>
    <t xml:space="preserve">Prix du sac de ciment de 50 kg (Cameroun)</t>
  </si>
  <si>
    <t xml:space="preserve">FCFA/sac</t>
  </si>
  <si>
    <t xml:space="preserve">« Sac de ciment (50 kg) | 4 800 – 5 500 » (7,32 à 8,38 EUR). Le même site donne le fer de 12 mm entre 3 500 et 4 500 FCFA la barre. Le360 Afrique (mai 2025) rapporte un sac passé de 4 200 à 5 400 FCFA et une barre de fer de 8 à presque 4 000 FCFA, contre 2 500 il y a une dizaine d'années : https://afrique.le360.ma/economie/cameroun-le-prix-des-materiaux-de-construction-demolit-le-reve-de-construire-sa-propre-maison_5CK3GS2ZIJFA7FT5OPKB6HJKSY/</t>
  </si>
  <si>
    <t xml:space="preserve">materiau_fer_12mm</t>
  </si>
  <si>
    <t xml:space="preserve">Prix de la barre de fer à béton de 12 mm (Cameroun)</t>
  </si>
  <si>
    <t xml:space="preserve">FCFA/barre</t>
  </si>
  <si>
    <t xml:space="preserve">Fer de 12 mm entre 3 500 et 4 500 FCFA la barre (5,34 à 6,86 EUR). Le même site chiffre une maison de 3 pièces de 80 m² : fondations et gros œuvre 3,5 à 5 millions, toiture 1,2 à 2 millions, menuiserie 0,8 à 1,5 million, électricité 0,4 à 0,8 million et plomberie 0,35 à 0,7 million FCFA. Le tableau est partiellement désordonné dans la source.</t>
  </si>
  <si>
    <t xml:space="preserve">cloture_mur_appel_offres</t>
  </si>
  <si>
    <t xml:space="preserve">Mur de clôture (environ 95 ml, hauteur 2,80 m), coût prévisionnel en marché public</t>
  </si>
  <si>
    <t xml:space="preserve">2024-01</t>
  </si>
  <si>
    <t xml:space="preserve">ARMP : Avis d'appel d'offres 004 AONO, commune de Gazawa (construction d'un mur de clôture)</t>
  </si>
  <si>
    <t xml:space="preserve">Avis portant sur un mur de clôture d'environ 95 ml et 2,80 m de haut, coût prévisionnel de « vingt millions (20 000 000) FCFA », soit environ 210 526 FCFA/ml (calcul), environ 320,9 EUR/ml. Ce montant peut inclure d'autres ouvrages (portail, guérite) et vise le Nord du pays. C'est un plafond administratif TTC, pas un prix de marché. Pour comparaison, un devis privé de clôture en parpaings à Douala (forum Expat.com, fil 861404) totalise environ 3,6 millions FCFA, sans longueur indiquée.</t>
  </si>
  <si>
    <t xml:space="preserve">loyer_bureau_douala_bonanjo</t>
  </si>
  <si>
    <t xml:space="preserve">Loyer de bureau haut de gamme à Douala (Bonanjo), annonce open space 300 m²</t>
  </si>
  <si>
    <t xml:space="preserve">FCFA/m2/mois</t>
  </si>
  <si>
    <t xml:space="preserve">Expat.com : Vaste bureau en open space à louer à Bonanjo</t>
  </si>
  <si>
    <t xml:space="preserve">https://www.expat.com/fr/immobilier/afrique/cameroun/douala/76-bureaux-a-louer/806133-vaste-bureau-en-open-space-a-louer-a-bonanjo.html</t>
  </si>
  <si>
    <t xml:space="preserve">5 500 000 FCFA par mois pour 300 m², soit environ 18 333 FCFA/m²/mois (27,95 EUR/m²/mois). Repère ancien : une étude Knight Frank (2017, reprise par Camer.be) donnait Douala comme ville la plus chère, à 26 USD/m²/mois, « soit plus de 16 000 FCFA » par m² (https://www.camer.be/59447/12:1/cameroon-immobilier-douala-ville-ou-le-loyer-est-le-plus-cher-au-cameroun.html). Il s'agit de bureaux prime, pas d'entrepôts.</t>
  </si>
  <si>
    <t xml:space="preserve">loyer_residentiel_bastos_proxy</t>
  </si>
  <si>
    <t xml:space="preserve">Loyer d'un appartement haut standing à Bastos (Yaoundé), annonce 104 m²</t>
  </si>
  <si>
    <t xml:space="preserve">Expat.com : Appartements 02 chambres haut standing à louer au quartier Bastos proche du parcours Vita</t>
  </si>
  <si>
    <t xml:space="preserve">https://www.expat.com/fr/immobilier/afrique/cameroun/yaounde/40-appartement-a-louer/812566-appartements-02-chambres-haut-standing-a-louer-au-quartier-bastos-proche-du-parcours-vita.html</t>
  </si>
  <si>
    <t xml:space="preserve">« Prix : 680.000 FCFA/mois » pour environ 104 m², soit environ 6 538 FCFA/m²/mois (9,97 EUR/m²/mois). Loyer résidentiel, utilisé faute de loyer de bureau au m² publié pour Bastos. Infospratiques.cm (p=346, 2026) donne pour un 3 pièces à Bastos de 150 000 à 400 000 FCFA/mois, utile pour loger le personnel expatrié.</t>
  </si>
  <si>
    <t xml:space="preserve">prix_achat_m2_centre_yaounde</t>
  </si>
  <si>
    <t xml:space="preserve">Prix d'achat moyen au m² d'un appartement en centre-ville de Yaoundé (donnée participative)</t>
  </si>
  <si>
    <t xml:space="preserve">Combien-coute.net : Quel est le prix d'un mètre carré en ville à Yaoundé en 2026 ?</t>
  </si>
  <si>
    <t xml:space="preserve">https://www.combien-coute.net/prixm2-centre/cameroun/yaounde/</t>
  </si>
  <si>
    <t xml:space="preserve">Prix moyen d'achat en centre-ville : 499 613 FCFA/m² (761,66 EUR/m²). Donnée participative (déclarations d'internautes), bâti et non terrain nu. Sert de repère haut pour un siège en centre-ville, pas pour un hub.</t>
  </si>
  <si>
    <t xml:space="preserve">retenue_source_loyers_lf2026</t>
  </si>
  <si>
    <t xml:space="preserve">Retenue à la source sur les loyers, loi de finances 2026 du Cameroun</t>
  </si>
  <si>
    <t xml:space="preserve">Selon l'article, la loi de finances 2026 a abaissé la retenue à la source sur les loyers de 15 % à 10 %. Pour un bail commercial, le locataire personne morale retient et reverse cette somme. Source secondaire, à vérifier dans le texte de la loi de finances 2026 ou le Code général des impôts (DGI Cameroun).</t>
  </si>
  <si>
    <t xml:space="preserve">flotte_cm</t>
  </si>
  <si>
    <t xml:space="preserve">carburant_super_prix_pompe</t>
  </si>
  <si>
    <t xml:space="preserve">Prix officiel à la pompe – super (essence), Cameroun</t>
  </si>
  <si>
    <t xml:space="preserve">FCFA/litre</t>
  </si>
  <si>
    <t xml:space="preserve">En vigueur depuis le 2024-02-03 ; confirmé en 2026</t>
  </si>
  <si>
    <t xml:space="preserve">Prix du Carburant au Cameroun 2026 : Tarifs (infospratiques.cm)</t>
  </si>
  <si>
    <t xml:space="preserve">Extrait de résultat de recherche. Prix administré (CSPH), le même sur tout le territoire. Hausse du 3 février 2024 de 730 à 840 FCFA (+15 %), annoncée par communiqué des services du Premier ministre (cf. https://ecomatin.net/cameroun-le-gouvernement-enterine-une-nouvelle-hausse-des-prix-de-carburant-de-15). Le ministre des Finances a annoncé l'absence de hausse en 2025. La note INS sur les prix de juillet 2026 (https://ins-cameroun.cm/wp-content/uploads/2026/08/Note-sur-les-prix-au-Cameroun-en-juillet-2026.pdf) relève l'absence de répercussion sur les prix à la pompe. Soit environ 1,28 EUR/L (1 EUR = 655,957 FCFA). Aucun arrêté d'octobre 2026 n'a été consulté directement.</t>
  </si>
  <si>
    <t xml:space="preserve">carburant_gasoil_prix_pompe</t>
  </si>
  <si>
    <t xml:space="preserve">Prix officiel à la pompe – gasoil, Cameroun</t>
  </si>
  <si>
    <t xml:space="preserve">Extrait de résultat de recherche. Hausse de 720 à 828 FCFA (+108 FCFA, environ +13 à 15 % selon les sources) au 3 février 2024. Un article Cameroun24 d'octobre 2026 indique que le prix consommateur reste à 828 FCFA/L au dépôt de Douala-Bonabéri. Soit environ 1,26 EUR/L. Pétrole lampant inchangé à 350 FCFA/L.</t>
  </si>
  <si>
    <t xml:space="preserve">carburant_gasoil_cout_import_risque</t>
  </si>
  <si>
    <t xml:space="preserve">Coût d'importation du gasoil (CSPH), indicateur du risque de hausse à la pompe</t>
  </si>
  <si>
    <t xml:space="preserve">FCFA/litre (coût d'importation, pas le prix pompe)</t>
  </si>
  <si>
    <t xml:space="preserve">Mai 2026 (786,93) puis octobre 2026 (974,93)</t>
  </si>
  <si>
    <t xml:space="preserve">Budget 2026 : le Cameroun face à un nouveau dérapage du déficit, la facture des carburants s'envole (Cameroun24)</t>
  </si>
  <si>
    <t xml:space="preserve">https://cameroun24.net/article-amp/76284-budget-2026-le-cameroun-face-a-un-nouveau-derapage-du-deficit-la-facture-des-carburants-senvole.html</t>
  </si>
  <si>
    <t xml:space="preserve">Extrait de résultat de recherche (média unique, non recoupé avec la CSPH). Selon l'INS, le coût d'importation est passé de 489,72 à 786,93 FCFA/L entre février et mai 2026, puis à 974,93 FCFA/L en octobre 2026 selon la CSPH. La compensation versée par l'État est passée de 109,22 FCFA/L en juillet à 430,30 FCFA/L en octobre. FinancialAfrik (avril 2026) évoque une suppression quasi totale des subventions en 2026, et donc un risque de hausse des prix à la pompe (https://www.financialafrik.com/2026/04/07/cameroun-vers-la-fin-des-subventions-aux-carburants-en-2026/). Le rattachement exact des chiffres à cet article Cameroun24 plutôt qu'à l'article 74839 du même site est probable mais pas certain.</t>
  </si>
  <si>
    <t xml:space="preserve">moto_bajaj_boxer_annonces</t>
  </si>
  <si>
    <t xml:space="preserve">Moto Bajaj Boxer 125/150 – prix demandés en annonces (Cameroun)</t>
  </si>
  <si>
    <t xml:space="preserve">Annonces consultées le 2026-10-14 (dates de publication non affichées)</t>
  </si>
  <si>
    <t xml:space="preserve">Bajaj – Motos &amp; Scooters neufs et occasions – CoinAfrique Cameroun</t>
  </si>
  <si>
    <t xml:space="preserve">https://cm.coinafrique.com/categorie/motos-et-scooters/bajaj</t>
  </si>
  <si>
    <t xml:space="preserve">Extrait de résultat de recherche. Ce sont des prix demandés par des particuliers ou revendeurs, négociables, et non des prix de concession. Boxer 150X/125X Discover 2018 présentée comme neuve à Douala : 260 000 FCFA (https://cm.coinafrique.com/annonce/motos-et-scooters/bajaj-boxer-150x-125x-discover-2018-964291). Boxer 150/125 2018 à Yaoundé : 420 000 FCFA. Boxer 150 2023 à Douala : 700 000 FCFA.</t>
  </si>
  <si>
    <t xml:space="preserve">moto_nanfang_150_annonces</t>
  </si>
  <si>
    <t xml:space="preserve">Moto Nanfang (Nanfan) 150 cm3 – prix demandés en annonces (Douala/Yaoundé)</t>
  </si>
  <si>
    <t xml:space="preserve">Annonces consultées le 2026-10-14</t>
  </si>
  <si>
    <t xml:space="preserve">Nanfan – Motos &amp; Scooters neufs et occasions – CoinAfrique Cameroun</t>
  </si>
  <si>
    <t xml:space="preserve">Extrait de résultat de recherche. Nanfan High Jack 150 2024 à Douala : 475 000 et 550 000 FCFA (deux annonces). Nanfang Turbo 150 2021 à Yaoundé : 450 000 FCFA. Une « Nanfan Turbo 2026 » à 300 000 FCFA (Yaoundé) a été écartée car elle est atypique, de même qu'une annonce à 230 FCFA (erreur de saisie). Le distributeur exclusif Haojue/Nanfan au Cameroun est COCIMECAM (Douala, Deido), sans tarif public trouvé.</t>
  </si>
  <si>
    <t xml:space="preserve">moto_haojue_annonces</t>
  </si>
  <si>
    <t xml:space="preserve">Moto Haojue 110–190 cm3 – prix demandés en annonces (Cameroun)</t>
  </si>
  <si>
    <t xml:space="preserve">Haojue – Motos &amp; Scooters neufs et occasions – CoinAfrique Cameroun</t>
  </si>
  <si>
    <t xml:space="preserve">https://cm.coinafrique.com/categorie/motos-et-scooters/haojue</t>
  </si>
  <si>
    <t xml:space="preserve">Extrait de résultat de recherche. Fourchette couvrant les modèles Lucky Plus, DR 190 et 110-5, selon l'année et l'état. Repère pour un modèle 125 cm3 récent : Haojue Métro 125-8 de 2024 à 575 000 FCFA (Ngaoundéré). Ce sont des prix demandés, et non des prix de concession neufs.</t>
  </si>
  <si>
    <t xml:space="preserve">moto_tvs_annonces</t>
  </si>
  <si>
    <t xml:space="preserve">Moto TVS 110 – prix demandés en annonces (Cameroun)</t>
  </si>
  <si>
    <t xml:space="preserve">Annonces de moto et voiture à vendre au Cameroun – CoinAfrique</t>
  </si>
  <si>
    <t xml:space="preserve">https://cm.coinafrique.com/categorie/motos-et-scooters</t>
  </si>
  <si>
    <t xml:space="preserve">Extrait de résultat de recherche. TVS 110 2026 à Kousséri : 350 000 FCFA. TVS 2019 à Yaoundé : 350 000 FCFA. Le résumé de recherche ne précise pas la page exacte de l'annonce, rattachée ici à la catégorie motos de CoinAfrique Cameroun. Cylindrée 110 cm3, sous la cible de 125-150 cm3.</t>
  </si>
  <si>
    <t xml:space="preserve">moto_financement_moyen_bee_advans</t>
  </si>
  <si>
    <t xml:space="preserve">Financement moyen par moto-taximan (Bee/Advans/Atlantique Assurance), proxy du coût d'une moto avec papiers</t>
  </si>
  <si>
    <t xml:space="preserve">FCFA par chauffeur (calcul dérivé)</t>
  </si>
  <si>
    <t xml:space="preserve">2024-06-05 (signature du partenariat à Douala)</t>
  </si>
  <si>
    <t xml:space="preserve">Cameroun : trois entreprises se mettent ensemble pour financer 3 600 mototaximen (Journal du Cameroun)</t>
  </si>
  <si>
    <t xml:space="preserve">https://fr.journalducameroun.com/cameroun-trois-entreprises-se-mettent-ensemble-pour-financer-3-600-mototaximen/</t>
  </si>
  <si>
    <t xml:space="preserve">Extrait de résultat de recherche. Chiffre publié : environ 2,3 milliards FCFA pour 3 600 chauffeurs sur 24 mois. Advans finance « l'acquisition des motos avec tous les papiers ». 2,3 Md / 3 600 ≈ 639 000 FCFA est un calcul dérivé, non publié : c'est un ordre de grandeur pour une moto neuve plus ses documents. Les remboursements sont journaliers, via l'application Bee.</t>
  </si>
  <si>
    <t xml:space="preserve">moto_electrique_spiro_prix</t>
  </si>
  <si>
    <t xml:space="preserve">Moto électrique Spiro 450 M1 V2 – prix en crédit-bail (Cameroun)</t>
  </si>
  <si>
    <t xml:space="preserve">Juin 2026</t>
  </si>
  <si>
    <t xml:space="preserve">Spiro et Motozone signent pour 1 000 motos électriques au Cameroun (Africtelegraph)</t>
  </si>
  <si>
    <t xml:space="preserve">https://africtelegraph.com/blog/spiro-et-motozone-signent-pour-1-000-motos-electriques-au-cameroun/</t>
  </si>
  <si>
    <t xml:space="preserve">Extrait de résultat de recherche. Spiro 450 M1 V2 à 540 000 FCFA en crédit-bail (accord Spiro–Motozone pour 1 000 unités). Borne basse : moto électrique camerounaise Babana 237 à 500 000 FCFA (https://ecomatin.net/cameroun-michel-fezeu-met-sur-pied-une-moto-electrique-baptisee-babana-237). Une marque indienne lancée à Douala est aussi annoncée à 540 000 FCFA, avec une recharge ou un échange de batterie d'environ 1 500 FCFA pour 100 km (https://www.237online.com/moto-electrique-cameroun-revolution-choc-de-50-deconomie/ ; affirmation commerciale). C'est une alternative à la moto thermique pour la flotte.</t>
  </si>
  <si>
    <t xml:space="preserve">van_toyota_hiace_occasion_ancien</t>
  </si>
  <si>
    <t xml:space="preserve">Toyota Hiace d'occasion (1995–2006, diesel) – prix demandés à Douala/Yaoundé</t>
  </si>
  <si>
    <t xml:space="preserve">Voitures Toyota Hiace 2006 neufs et occasions au Cameroun – CoinAfrique Cameroun – 2230644</t>
  </si>
  <si>
    <t xml:space="preserve">https://cm.coinafrique.com/annonce/voitures/toyota-hiace-2006-2230644</t>
  </si>
  <si>
    <t xml:space="preserve">Extrait de résultat de recherche. Hiace 2006 à Yaoundé : 6 800 000 FCFA (diesel, manuelle, 188 579 km, non climatisée). Hiace 1995 à Douala : 6 500 000 FCFA, 294 342 km (https://cm.coinafrique.com/annonce/voitures/toyota-hiace-1995-2761739). Hi-ace 19 places à Douala, importée de Belgique : 5 500 000 FCFA (https://cm.coinafrique.com/annonce/camions-et-bus/toyota-hi-ace-19-places-4667978). Ce sont des prix demandés et négociables. Ces véhicules de plus de 20 ans subiraient la nouvelle accise de 25 % s'ils étaient importés en 2026.</t>
  </si>
  <si>
    <t xml:space="preserve">van_toyota_hiace_zoom_2011</t>
  </si>
  <si>
    <t xml:space="preserve">Toyota Hiace Zoom 2011 (19 places, essence) – prix demandé à Douala</t>
  </si>
  <si>
    <t xml:space="preserve">Annonce consultée le 2026-10-14</t>
  </si>
  <si>
    <t xml:space="preserve">Voitures Toyota hiace zoom 2011 neufs et occasions au Cameroun – CoinAfrique Cameroun – 5057538</t>
  </si>
  <si>
    <t xml:space="preserve">Extrait de résultat de recherche. L'annonce affiche 0 km, ce qui est douteux pour un véhicule de 2011 et probablement non renseigné. Prix demandé, négociable.</t>
  </si>
  <si>
    <t xml:space="preserve">van_toyota_hiace_neuve_reference_regionale</t>
  </si>
  <si>
    <t xml:space="preserve">Toyota Hiace neuve 2025 – repère régional (Burkina Faso, livraison Lomé)</t>
  </si>
  <si>
    <t xml:space="preserve">Voitures Toyota Hiace 2025 neufs et occasions au Burkina Faso – CoinAfrique – 5660158</t>
  </si>
  <si>
    <t xml:space="preserve">https://bf.coinafrique.com/annonce/voitures/toyota-hiace-2025-5660158</t>
  </si>
  <si>
    <t xml:space="preserve">Extrait de résultat de recherche. Ce n'est pas un prix camerounais : c'est un repère zone franc CFA (UEMOA), hors dédouanement CEMAC. Au Togo, des Hiace 2020 sont annoncées entre environ 16 et 20 millions FCFA (https://tg.coinafrique.com/categorie/voitures/toyota-hiace).</t>
  </si>
  <si>
    <t xml:space="preserve">van_toyota_hiace_neuve_prix_catalogue_zambie</t>
  </si>
  <si>
    <t xml:space="preserve">Toyota Hiace minibus neuf 15 places 2.5 D-4D – prix catalogue officiel Toyota Zambie (repère)</t>
  </si>
  <si>
    <t xml:space="preserve">USD hors taxes</t>
  </si>
  <si>
    <t xml:space="preserve">Février 2026</t>
  </si>
  <si>
    <t xml:space="preserve">Hiace Updated – liste de prix Toyota Zambia (PDF)</t>
  </si>
  <si>
    <t xml:space="preserve">https://www.toyotazambia.co.zm/wp-content/uploads/2026/02/Hiace-Updated.pdf</t>
  </si>
  <si>
    <t xml:space="preserve">Extrait de résultat de recherche (« Standard K3 Mini bus 15 seats 2.5 D-4D ... 39,900 USD » hors taxes). C'est un repère de prix neuf concessionnaire hors Cameroun, sans conversion en FCFA ; il faut y ajouter le transport, les droits CEMAC et la TVA.</t>
  </si>
  <si>
    <t xml:space="preserve">van_suzuki_carry_occasion</t>
  </si>
  <si>
    <t xml:space="preserve">Suzuki Carry d'occasion (2002–2006) – prix demandés à Yaoundé</t>
  </si>
  <si>
    <t xml:space="preserve">Suzuki – Voitures neufs et occasions – CoinAfrique Cameroun</t>
  </si>
  <si>
    <t xml:space="preserve">https://cm.coinafrique.com/categorie/voitures/suzuki</t>
  </si>
  <si>
    <t xml:space="preserve">Extrait de résultat de recherche. Carry 2005 : 1 850 000 FCFA ; 2006 : 2 950 000 FCFA ; 2002 : 3 000 000 FCFA, tous à Yaoundé. Prix négociables. Dates de publication non affichées.</t>
  </si>
  <si>
    <t xml:space="preserve">douane_dd_tva_cat3</t>
  </si>
  <si>
    <t xml:space="preserve">Droit de douane catégorie 3 (biens de consommation) et TVA à l'import – Cameroun</t>
  </si>
  <si>
    <t xml:space="preserve">% (DD 30 % ; TVA 19,25 %)</t>
  </si>
  <si>
    <t xml:space="preserve">2026 (simulateur consulté en octobre 2026)</t>
  </si>
  <si>
    <t xml:space="preserve">Simulateur douane – LeFisk.cm</t>
  </si>
  <si>
    <t xml:space="preserve">Extrait de résultat de recherche. Le simulateur privé, indicatif, affiche pour la catégorie 3 un DD de 30 %, une TVA de 19,25 % et deux prélèvements de 0,5 % chacun. La TVA s'applique sur CAF + DD + accises éventuelles. Le classement des motos (SH 8711) et des utilitaires (SH 8704) dans cette catégorie n'est pas confirmé : il faut vérifier sur SIMPA (simpa.guichetunique.cm) ou auprès d'un commissionnaire agréé.</t>
  </si>
  <si>
    <t xml:space="preserve">douane_tec_cemac_categories</t>
  </si>
  <si>
    <t xml:space="preserve">Tarif extérieur commun CEMAC – taux par catégorie</t>
  </si>
  <si>
    <t xml:space="preserve">% (catégories 5/10/20/30 %)</t>
  </si>
  <si>
    <t xml:space="preserve">Guide en vigueur (consulté en 2026)</t>
  </si>
  <si>
    <t xml:space="preserve">Congo, Republic of the – Country Commercial Guide – Import Tariffs (trade.gov)</t>
  </si>
  <si>
    <t xml:space="preserve">https://www.trade.gov/country-commercial-guides/republic-congo-import-tariffs</t>
  </si>
  <si>
    <t xml:space="preserve">Extrait de résultat de recherche. Le TEC CEMAC compte quatre catégories à 5, 10, 20 et 30 % ; les produits originaires de la CEMAC sont exonérés. Une loi de finances camerounaise de 2020 a accordé un taux réduit de 5 % aux véhicules neufs de transport urbain (taxis, autocars) pour 2020-2021 sous conditions. Le taux exact des positions 8711 et 8704 n'a pas été trouvé.</t>
  </si>
  <si>
    <t xml:space="preserve">douane_accises_age_vehicule_2026</t>
  </si>
  <si>
    <t xml:space="preserve">Droit d'accises selon l'âge du véhicule importé – loi de finances 2026</t>
  </si>
  <si>
    <t xml:space="preserve">% (12,5 % pour 13–20 ans ; 25 % au-delà de 20 ans)</t>
  </si>
  <si>
    <t xml:space="preserve">Loi n° 2025/012 du 17 décembre 2025 (exercice 2026), article de mars 2026</t>
  </si>
  <si>
    <t xml:space="preserve">Cameroun : Loi de finances 2026 – Rouler vieux au pays va coûter bien plus cher (allAfrica)</t>
  </si>
  <si>
    <t xml:space="preserve">https://fr.allafrica.com/stories/202603020596.html</t>
  </si>
  <si>
    <t xml:space="preserve">Extrait de résultat de recherche. Le droit s'ajoute aux droits de douane et à la TVA. Les bornes sont incertaines : 13–20 ans selon allAfrica/Camer.be (mars 2026), 12–20 ans selon un article de décembre 2025. Le projet de loi prévoyait 0 % pour les véhicules de tourisme de 0 à 12 ans (https://ecomatin.net/cameroun-25-de-droit-daccises-sur-les-voitures-de-20-ans-0-pour-les-moins-de-12-ans), sans confirmation de la version promulguée. Ancien barème de 2019 : 12,5 % de 10 à 15 ans et 25 % au-delà de 15 ans. Aucune interdiction d'import liée à l'âge n'a été trouvée : le système est fiscal. Application aux motos et utilitaires non confirmée.</t>
  </si>
  <si>
    <t xml:space="preserve">vignette_droit_timbre_auto_2_7cv</t>
  </si>
  <si>
    <t xml:space="preserve">Vignette (droit de timbre automobile) – véhicule de 2 à 7 CV</t>
  </si>
  <si>
    <t xml:space="preserve">FCFA/an</t>
  </si>
  <si>
    <t xml:space="preserve">Loi de finances 2023</t>
  </si>
  <si>
    <t xml:space="preserve">Cameroun : le coût de la vignette automobile va augmenter en 2023 (Journal du Cameroun)</t>
  </si>
  <si>
    <t xml:space="preserve">https://fr.journalducameroun.com/cameroun-le-cout-de-la-vignette-automobile-va-augmenter-en-2023/</t>
  </si>
  <si>
    <t xml:space="preserve">Extrait de résultat de recherche. Barème 2023 : 2–7 CV de 15 000 à 30 000 FCFA ; 8–13 CV 50 000 FCFA ; 14–20 CV 75 000 FCFA ; plus de 20 CV de 150 000 à 200 000 FCFA. Un utilitaire léger se situe probablement en 2–7 ou 8–13 CV selon sa puissance fiscale. La vignette est délivrée par les assureurs. Le barème officiel figure à l'article 597 du CGI ; aucun tarif spécifique aux motos n'a été trouvé.</t>
  </si>
  <si>
    <t xml:space="preserve">carte_grise_timbre_par_cv</t>
  </si>
  <si>
    <t xml:space="preserve">Droit de timbre sur carte grise</t>
  </si>
  <si>
    <t xml:space="preserve">FCFA par cheval fiscal (CV)</t>
  </si>
  <si>
    <t xml:space="preserve">Article non daté ; repris par un guide de 2026</t>
  </si>
  <si>
    <t xml:space="preserve">Cameroun : Taxes sur les mutations de véhicules d'occasion – le saut numérique (Camer.be)</t>
  </si>
  <si>
    <t xml:space="preserve">https://www.camer.be/60307/12:1/cameroun-taxes-sur-les-mutations-de-vehicules-doccasion-le-saut-numerique-cameroon.html</t>
  </si>
  <si>
    <t xml:space="preserve">Extrait de résultat de recherche. S'y ajoute un timbre de dimension de 1 000 FCFA par page. La taxe à l'essieu ne concerne que les véhicules de plus de 3 tonnes : elle ne s'applique ni aux motos ni aux petits utilitaires. Depuis le 10 janvier 2024, les droits sur les mutations de véhicules d'occasion importés se paient dans CAMCIS avec le bulletin de liquidation. Application aux motos non confirmée.</t>
  </si>
  <si>
    <t xml:space="preserve">carte_grise_mutation_droit_enregistrement</t>
  </si>
  <si>
    <t xml:space="preserve">Droits d'enregistrement sur mutation d'un véhicule d'occasion</t>
  </si>
  <si>
    <t xml:space="preserve">% de la valeur du véhicule</t>
  </si>
  <si>
    <t xml:space="preserve">Guide 2026</t>
  </si>
  <si>
    <t xml:space="preserve">Immatriculation voiture au Cameroun : carte grise, prix et procédure (Guide 2026) – infospratiques.cm</t>
  </si>
  <si>
    <t xml:space="preserve">https://infospratiques.cm/?p=425</t>
  </si>
  <si>
    <t xml:space="preserve">Extrait de résultat de recherche. Exemple chiffré du guide : voiture d'occasion de 7 CV à 3 000 000 FCFA, environ 192 000 FCFA de frais de mutation et carte grise au total. C'est un guide tiers, à vérifier auprès de la DGI. Application aux motos non précisée.</t>
  </si>
  <si>
    <t xml:space="preserve">visite_technique_cout</t>
  </si>
  <si>
    <t xml:space="preserve">Visite technique automobile – coût</t>
  </si>
  <si>
    <t xml:space="preserve">FCFA par visite</t>
  </si>
  <si>
    <t xml:space="preserve">Extrait de résultat de recherche. S'y ajoute une nouvelle taxe fixe de 3 000 FCFA par visite technique, prévue par le projet de loi de finances 2026 à compter du 1er janvier 2026, transport public exonéré (https://ecomatin.net/cameroun-letat-va-imposer-une-nouvelle-taxe-de-3000-fcfa-sur-chaque-visite-technique-automobile). Adoption définitive non vérifiée.</t>
  </si>
  <si>
    <t xml:space="preserve">livraison_moto_taxi_course_colis</t>
  </si>
  <si>
    <t xml:space="preserve">Livraison de colis par moto-taxi en ville – tarif moyen d'une course</t>
  </si>
  <si>
    <t xml:space="preserve">Article Cameroon Tribune (date exacte non visible)</t>
  </si>
  <si>
    <t xml:space="preserve">Livraison des colis : les motos-taxis facilitent la tâche (Cameroon Tribune)</t>
  </si>
  <si>
    <t xml:space="preserve">Extrait de résultat de recherche. Tarif cité par un moto-taximan, qui estime que plus de 40 % de ses courses sont des livraisons de colis. Ce n'est pas une grille officielle. C'est le principal repère de prix de marché de la livraison intra-urbaine informelle.</t>
  </si>
  <si>
    <t xml:space="preserve">livraison_grille_zone_douala_yaounde</t>
  </si>
  <si>
    <t xml:space="preserve">Grille de livraison e-commerce recommandée Douala/Yaoundé (0–4 km et 4–10 km)</t>
  </si>
  <si>
    <t xml:space="preserve">FCFA/colis</t>
  </si>
  <si>
    <t xml:space="preserve">Zones et tarifs de livraison e-commerce au Cameroun 2026 (blog Kolonell)</t>
  </si>
  <si>
    <t xml:space="preserve">https://kolonell.com/fr/blog/zones-et-tarifs-livraison-ecommerce-cameroun-2026</t>
  </si>
  <si>
    <t xml:space="preserve">Extrait de résultat de recherche. Zone centrale (0–4 km) : 500–1 000 FCFA ; périphérie proche (4–10 km) : 1 000–1 800 FCFA. Ce sont des recommandations d'une agence e-commerce basée au Sénégal, et non des tarifs pratiqués par un transporteur identifié.</t>
  </si>
  <si>
    <t xml:space="preserve">livraison_interurbaine_transporteur</t>
  </si>
  <si>
    <t xml:space="preserve">Expédition interurbaine via transporteur (ex. vers ou depuis Yaoundé) – tarif indicatif</t>
  </si>
  <si>
    <t xml:space="preserve">FCFA/colis (délai 48–72 h, prépayé)</t>
  </si>
  <si>
    <t xml:space="preserve">Extrait de résultat de recherche. C'est une recommandation de blog, non une grille d'agence de voyage. Aucun tarif colis publié n'a été trouvé pour Finexs, Buca Voyages, Général Voyages ou United Express. United Express (Akwa Douala / Essos Yaoundé) indique traiter les colis, sans tarif publié.</t>
  </si>
  <si>
    <t xml:space="preserve">billet_bus_classique_yaounde_douala</t>
  </si>
  <si>
    <t xml:space="preserve">Billet de bus classique Yaoundé–Douala (passager) – repère pour le coût interurbain</t>
  </si>
  <si>
    <t xml:space="preserve">FCFA/billet</t>
  </si>
  <si>
    <t xml:space="preserve">Décembre 2021</t>
  </si>
  <si>
    <t xml:space="preserve">Transport interurbain : les agences de voyage augmentent le prix du classique sur la ligne Yaoundé-Douala (EcoMatin)</t>
  </si>
  <si>
    <t xml:space="preserve">https://ecomatin.net/transport-interurbain-les-agences-de-voyage-augmentent-le-prix-du-classique-sur-la-ligne-yaounde-douala/</t>
  </si>
  <si>
    <t xml:space="preserve">Extrait de résultat de recherche. Huit agences, dont Finexs et Buca Voyages, ont augmenté le billet de 500 FCFA pour le porter à 3 500 FCFA. C'est un tarif passager de 2021, antérieur à la hausse des carburants de février 2024 : il est probablement plus élevé aujourd'hui. Ce n'est pas un tarif colis.</t>
  </si>
  <si>
    <t xml:space="preserve">livraison_cout_interne_moto_douala</t>
  </si>
  <si>
    <t xml:space="preserve">Coût d'une livraison interne à moto à Douala (flotte propre)</t>
  </si>
  <si>
    <t xml:space="preserve">FCFA/livraison</t>
  </si>
  <si>
    <t xml:space="preserve">Gestion de la livraison de colis e-commerce à Douala 2026 (blog Kolonell)</t>
  </si>
  <si>
    <t xml:space="preserve">https://kolonell.com/fr/blog/gestion-livraison-colis-ecommerce-douala-2026</t>
  </si>
  <si>
    <t xml:space="preserve">Extrait de résultat de recherche. Le même article indique qu'un livreur interne devient plus rentable qu'un prestataire au-delà d'environ 10 livraisons par jour. Source commerciale sans méthodologie détaillée.</t>
  </si>
  <si>
    <t xml:space="preserve">yango_livraison_prix_depart_2022</t>
  </si>
  <si>
    <t xml:space="preserve">Yango Delivery Cameroun – prix de départ annoncé au lancement (colis jusqu'à 20 kg)</t>
  </si>
  <si>
    <t xml:space="preserve">FCFA (« à partir de »)</t>
  </si>
  <si>
    <t xml:space="preserve">2022 (lancement à Douala)</t>
  </si>
  <si>
    <t xml:space="preserve">Yango se lance dans le service de livraison à Douala (Digital Business Africa)</t>
  </si>
  <si>
    <t xml:space="preserve">https://www.digitalbusiness.africa/yango-se-lance-dans-le-service-de-livraison-a-douala/</t>
  </si>
  <si>
    <t xml:space="preserve">Extrait de résultat de recherche. Options « Voiture » et « Moto » dans la section Livraison. Ce prix de départ de 2022 est probablement un tarif de prise en charge hors kilométrage : il n'est pas représentatif du prix d'une livraison complète en 2026. Aucune grille Yango ou Gozem 2025/2026 n'a été trouvée pour le Cameroun.</t>
  </si>
  <si>
    <t xml:space="preserve">salaire_chauffeur_livreur_yaounde</t>
  </si>
  <si>
    <t xml:space="preserve">Salaire d'un chauffeur-livreur (supermarché, Yaoundé) – offre d'emploi</t>
  </si>
  <si>
    <t xml:space="preserve">FCFA/mois (plus primes éventuelles)</t>
  </si>
  <si>
    <t xml:space="preserve">2026 (date limite de candidature en juin)</t>
  </si>
  <si>
    <t xml:space="preserve">Chauffeur livreur – Africarrières Cameroun</t>
  </si>
  <si>
    <t xml:space="preserve">https://africarrieres.com/cameroon/fr/jobs/chauffeur-livreur-16</t>
  </si>
  <si>
    <t xml:space="preserve">Extrait de résultat de recherche. Le résumé ne précise pas laquelle des deux pages Africarrières (chauffeur-livreur-15 ou chauffeur-livreur-16) porte cette offre. C'est un poste de chauffeur de véhicule, non de livreur moto. Aucune rémunération par livraison de coursier moto n'a été trouvée.</t>
  </si>
  <si>
    <t xml:space="preserve">moto_taxi_recette_journaliere_location</t>
  </si>
  <si>
    <t xml:space="preserve">Recette journalière versée au propriétaire par un moto-taximan (location de moto)</t>
  </si>
  <si>
    <t xml:space="preserve">FCFA/jour travaillé</t>
  </si>
  <si>
    <t xml:space="preserve">Étude publiée vers 2010 (memoireonline 02/10)</t>
  </si>
  <si>
    <t xml:space="preserve">Les défis de la sécurité routière en milieu urbain au Cameroun : le cas des motos-taxis à Yaoundé (Mémoire Online)</t>
  </si>
  <si>
    <t xml:space="preserve">https://www.memoireonline.com/02/10/3152/m_Les-defis-de-la-securite-routiere-en-milieux-urbain-au-Cameroun-le-cas-des-motos-taxis-a-Yaoun9.html</t>
  </si>
  <si>
    <t xml:space="preserve">Extrait de résultat de recherche. « Les versements de recettes s'élèvent à 3000 FCFA par jour de travail dans la plupart des cas » ; en location-vente, le conducteur devient propriétaire à la fin des versements. La donnée est ancienne et sert de proxy au coût de location d'une moto ; elle est probablement plus élevée aujourd'hui.</t>
  </si>
  <si>
    <t xml:space="preserve">moto_125_consommation_constructeur</t>
  </si>
  <si>
    <t xml:space="preserve">Consommation homologuée d'une moto 125 cm3 (Honda CB125F, norme WMTC)</t>
  </si>
  <si>
    <t xml:space="preserve">Brochure Honda France 2022 (1,5) ; millésime 2026 (1,4–1,49)</t>
  </si>
  <si>
    <t xml:space="preserve">Brochure Honda France – Ville et route 2022 (CB125F)</t>
  </si>
  <si>
    <t xml:space="preserve">https://brochures.honda.fr/bike/22ym/bike/ville-et-route-2022/?Page=25</t>
  </si>
  <si>
    <t xml:space="preserve">Extrait de résultat de recherche. La brochure officielle Honda affiche 1,5 L/100 km. Le millésime 2026 est annoncé à 1,4–1,49 L/100 km (réservoir de 11 L) selon Le Repaire des Motards (https://www.lerepairedesmotards.com/actualites/2025/moto-honda-cb125f.php). Calcul dérivé : 1,5 L × 840 FCFA ≈ 1 260 FCFA de carburant pour 100 km. Aucune valeur constructeur n'a été trouvée pour Haojue ou Nanfang.</t>
  </si>
  <si>
    <t xml:space="preserve">moto_125_consommation_reelle</t>
  </si>
  <si>
    <t xml:space="preserve">Consommation réelle mesurée par des utilisateurs (Honda 125 cm3)</t>
  </si>
  <si>
    <t xml:space="preserve">Relevés Spritmonitor (CBF125 2015 ; CB125F 2016)</t>
  </si>
  <si>
    <t xml:space="preserve">Spritmonitor – Honda CB 125 F (relevés utilisateur)</t>
  </si>
  <si>
    <t xml:space="preserve">Extrait de résultat de recherche. CB 125 F 2016 : 2,72 L/100 km sur 7 281 km. CBF 125 (JC40) 2015 : 1,85 L/100 km sur 11 194 km (https://www.spritmonitor.de/fr/detail/917558.html?cdetail=1). Relevés européens : en usage urbain chargé au Cameroun, retenir plutôt le haut de la fourchette. Avec 2,72 L/100 km × 840 FCFA ≈ 2 285 FCFA/100 km (calcul dérivé).</t>
  </si>
  <si>
    <t xml:space="preserve">studio_import</t>
  </si>
  <si>
    <t xml:space="preserve">sony_a7iv_boitier</t>
  </si>
  <si>
    <t xml:space="preserve">Sony A7 IV – boîtier nu (prix public France)</t>
  </si>
  <si>
    <t xml:space="preserve">2024-11 à 2026 (relevés non datés)</t>
  </si>
  <si>
    <t xml:space="preserve">Boulanger – Sony A7 IV Nu (réf. 1172131)</t>
  </si>
  <si>
    <t xml:space="preserve">Extrait de résultat de recherche : Boulanger 1 999 € ; Powerplanet 1 988,99 € (prix conseillé 2 298,95 €) ; Phototrend Black Friday 2024/2025 : 1 949 € au lieu de 2 499 €. Prix de lancement 2 799 € (TechRadar). Prix variables selon promotions, à revérifier au moment de l'achat.</t>
  </si>
  <si>
    <t xml:space="preserve">canon_r6_mark2_boitier</t>
  </si>
  <si>
    <t xml:space="preserve">Canon EOS R6 Mark II – boîtier nu (revendeurs français)</t>
  </si>
  <si>
    <t xml:space="preserve">2026 (comparateur, date exacte non indiquée)</t>
  </si>
  <si>
    <t xml:space="preserve">Achatmoinscher – Appareil photo hybride Canon EOS R6 Mark II nu noir</t>
  </si>
  <si>
    <t xml:space="preserve">https://www.achatmoinscher.com/comparateur-de-prix-Appareil-Photo/appareil-photo-hybride-canon-eos-r6-mark-ii-nu-noir.html</t>
  </si>
  <si>
    <t xml:space="preserve">Extrait de résultat de recherche : Rue du Commerce 1 382 €, Darty/Fnac 1 409 €, Rakuten 1 424 €, PcComponentes 1 441 €. Pixmania 1 395 € (prix.net). Prix en baisse depuis la sortie du R6 Mark III ; en mai 2024 le boîtier était à 2 299 € après remise (Phototrend).</t>
  </si>
  <si>
    <t xml:space="preserve">sony_fe_90_macro_g</t>
  </si>
  <si>
    <t xml:space="preserve">Objectif Sony FE 90 mm f/2.8 Macro G OSS (neuf)</t>
  </si>
  <si>
    <t xml:space="preserve">2026 (non daté)</t>
  </si>
  <si>
    <t xml:space="preserve">Qualescegliere.it – comparateur GTIN 4548736007970</t>
  </si>
  <si>
    <t xml:space="preserve">Extrait de résultat de recherche : prix italiens (13 offres dès 809 €, 849,34 € Amazon.it, 1 049 € Sony Store). Aucun prix neuf France trouvé. Occasion MPB France : 609 à 669 €.</t>
  </si>
  <si>
    <t xml:space="preserve">sony_fe_2470_gm2</t>
  </si>
  <si>
    <t xml:space="preserve">2022-04 (lancement) / 2026</t>
  </si>
  <si>
    <t xml:space="preserve">PcComponentes.fr – Sony FE 24-70 mm f/2.8 GM II</t>
  </si>
  <si>
    <t xml:space="preserve">Extrait de résultat de recherche : PcComponentes.fr 1 590 € ; Pixmania (Italie) 1 523 € ; prix de lancement 2 399 € (Phototrend, avril 2022). Borne haute = prix public de lancement.</t>
  </si>
  <si>
    <t xml:space="preserve">godox_ad600pro_ii</t>
  </si>
  <si>
    <t xml:space="preserve">Flash Godox AD600 Pro II (600 Ws, tête seule)</t>
  </si>
  <si>
    <t xml:space="preserve">2024-2026 (non daté)</t>
  </si>
  <si>
    <t xml:space="preserve">Sony Center Riga (center.lv) – GODOX AD600Pro II</t>
  </si>
  <si>
    <t xml:space="preserve">Extrait de résultat de recherche : revendeur letton (UE), 899,95 €, disponibilité « soon ». Pas de prix revendeur français trouvé. Royaume-Uni : 829 £ (PriceSpy).</t>
  </si>
  <si>
    <t xml:space="preserve">profoto_b10x</t>
  </si>
  <si>
    <t xml:space="preserve">Flash Profoto B10X / B10X Plus (tête seule)</t>
  </si>
  <si>
    <t xml:space="preserve">Profoto – boutique officielle (page FR, pays Bulgarie) – Profoto B10X</t>
  </si>
  <si>
    <t xml:space="preserve">Extrait de résultat de recherche : site officiel 1 649 € (promo) / 1 995 € (prix initial) TVA incluse, B10X. B10X Plus : Geizhals.at 1 598 à 2 395 € ; Galaxy Andorra 1 599 €. Kit Duo B10X Plus (2 têtes, pieds, batteries, sac) : 3 708,90 USD chez Newegg (US), pas de prix EUR trouvé pour le kit.</t>
  </si>
  <si>
    <t xml:space="preserve">aputure_ls600d_pro</t>
  </si>
  <si>
    <t xml:space="preserve">non daté</t>
  </si>
  <si>
    <t xml:space="preserve">AVNED (Pays-Bas) – Aputure daglicht 5600K</t>
  </si>
  <si>
    <t xml:space="preserve">Extrait de résultat de recherche : 1 850 € hors TVA (revendeur néerlandais). Aucun prix France trouvé. LS 300d II : 759 USD au lieu de 949 USD sur aputure.com (pas de prix EUR). Location à Paris (Lightyshare) : ~82 €/jour pour le 600d Pro, ~55 €/jour pour le 300d II.</t>
  </si>
  <si>
    <t xml:space="preserve">apple_mac_studio_m4max</t>
  </si>
  <si>
    <t xml:space="preserve">Apple Mac Studio M4 Max (config. standard)</t>
  </si>
  <si>
    <t xml:space="preserve">2025-03 (lancement) / 2025-10 (baisse)</t>
  </si>
  <si>
    <t xml:space="preserve">Consomac – Le prix du Mac Studio 2025 baisse de 200 €</t>
  </si>
  <si>
    <t xml:space="preserve">Extrait de résultat de recherche : config M4 Max ramenée à 2 299 € (oct. 2025) ; 2 999 € au lancement pour 36 Go/512 Go selon la fiche Consomac ; promo Boulanger 2 499 €. Une génération M5 était attendue en 2026 : vérifier le catalogue apple.com/fr.</t>
  </si>
  <si>
    <t xml:space="preserve">apple_macbook_pro_14_m5</t>
  </si>
  <si>
    <t xml:space="preserve">Apple MacBook Pro 14 pouces M5</t>
  </si>
  <si>
    <t xml:space="preserve">2025-10 / 2026</t>
  </si>
  <si>
    <t xml:space="preserve">iPhon.fr – MacBook Pro M5 14 pouces (prix)</t>
  </si>
  <si>
    <t xml:space="preserve">Extrait de résultat de recherche : modèle de base 1 899 € (16 Go/1 To), 2 149 € (24 Go), 2 399 € (32 Go). Prix de lancement oct. 2025 : 1 799 € en 512 Go (iPhonesoft). Reconditionné Apple dès 1 629 €.</t>
  </si>
  <si>
    <t xml:space="preserve">benq_sw272u</t>
  </si>
  <si>
    <t xml:space="preserve">Écran photo BenQ SW272U 27" 4K AdobeRGB</t>
  </si>
  <si>
    <t xml:space="preserve">TopAchat – BenQ SW272U</t>
  </si>
  <si>
    <t xml:space="preserve">Extrait de résultat de recherche : TopAchat 1 212,99 € ; prix neuf de référence Cybertek 1 199,99 € ; Saturn (DE) 1 315 € ; eBay.de 1 299 € ; OX.ee 1 449 €. Bechtle : 1 161 € HT.</t>
  </si>
  <si>
    <t xml:space="preserve">eizo_coloredge_cs2740</t>
  </si>
  <si>
    <t xml:space="preserve">Écran Eizo ColorEdge CS2740 27" 4K</t>
  </si>
  <si>
    <t xml:space="preserve">non daté (lancement ~2021)</t>
  </si>
  <si>
    <t xml:space="preserve">Bechtle France – EIZO ColorEdge CS2740</t>
  </si>
  <si>
    <t xml:space="preserve">https://www.bechtle.com/fr-en/shop/eizo-coloredge-cs2740-monitor--4440947-05--p</t>
  </si>
  <si>
    <t xml:space="preserve">Extrait de résultat de recherche : Bechtle FR 1 235 € HT soit 1 482 € TTC hors port ; prix public de lancement 1 547 € ; TechInn 1 634,99 € (PriceSpy).</t>
  </si>
  <si>
    <t xml:space="preserve">adobe_cc_pro_equipes</t>
  </si>
  <si>
    <t xml:space="preserve">Adobe Creative Cloud Pro / Équipes – licence par utilisateur</t>
  </si>
  <si>
    <t xml:space="preserve">EUR par mois et par utilisateur</t>
  </si>
  <si>
    <t xml:space="preserve">début 2026</t>
  </si>
  <si>
    <t xml:space="preserve">FranceFG – Adobe Creative Cloud prix 2026 comparatif</t>
  </si>
  <si>
    <t xml:space="preserve">Extrait de résultat de recherche : offres Équipes dès 81,49 €/utilisateur/mois (HT ou TTC non précisé). Borne basse = offre particuliers toutes applications 78,65 €/mois TTC (adobe.com/fr). Royaume-Uni Creative Cloud Pro équipes : 73,33 £/mois/licence HT. Annuel indicatif ≈ 978 €/utilisateur (calcul 81,49 × 12). Tarif officiel France HT non trouvé.</t>
  </si>
  <si>
    <t xml:space="preserve">dji_rs4</t>
  </si>
  <si>
    <t xml:space="preserve">Stabilisateur DJI RS 4 (seul)</t>
  </si>
  <si>
    <t xml:space="preserve">KultureGeek comparateur – DJI RS 4</t>
  </si>
  <si>
    <t xml:space="preserve">Extrait de résultat de recherche : Amazon FR 469 € ; Vidéo Plus France 549 € TTC (457,50 € HT) ; MediaMarkt BE 469 €. RS 4 Combo 609 € (MediaMarkt BE) ; RS 4 Pro 849 à 878 €.</t>
  </si>
  <si>
    <t xml:space="preserve">steelcase_gesture</t>
  </si>
  <si>
    <t xml:space="preserve">Fauteuil de bureau Steelcase Gesture</t>
  </si>
  <si>
    <t xml:space="preserve">2026-07-01</t>
  </si>
  <si>
    <t xml:space="preserve">Comparateur-gamer.fr – Steelcase Gesture (EAN 3760345221368)</t>
  </si>
  <si>
    <t xml:space="preserve">Extrait de résultat de recherche : Amazon.fr 1 379 € (01/07/2026) ; Dealabs (août 2026) prix catalogue 1 169 €, 958,58 € avec code -18 % (expiré). HelloPro : gamme Steelcase 900 à 1 500 €.</t>
  </si>
  <si>
    <t xml:space="preserve">herman_miller_aeron</t>
  </si>
  <si>
    <t xml:space="preserve">Fauteuil Herman Miller Aeron (neuf)</t>
  </si>
  <si>
    <t xml:space="preserve">HelloPro Conseils – marques de fauteuils de bureau les plus fiables</t>
  </si>
  <si>
    <t xml:space="preserve">https://conseils.hellopro.fr/quelles-sont-les-marques-de-fauteuil-de-bureau-les-plus-fiables-en-france-4236.html</t>
  </si>
  <si>
    <t xml:space="preserve">Extrait de résultat de recherche : fourchette générale de la gamme Herman Miller (pas spécifique Aeron). Un commentaire Dealabs cite l'Aeron Remastered à 1 800 €. Prix officiel Herman Miller France non trouvé.</t>
  </si>
  <si>
    <t xml:space="preserve">bureau_droit_160x80</t>
  </si>
  <si>
    <t xml:space="preserve">Bureau droit professionnel 160 × 80 cm (neuf, standard)</t>
  </si>
  <si>
    <t xml:space="preserve">HelloPro – Bureau droit MT International L160 x P80 cm</t>
  </si>
  <si>
    <t xml:space="preserve">Extrait de résultat de recherche : MT International 467,28 à 508,12 € HT ; Gautier Office 257,51 à 292,18 € HT. Bureaux de direction 160×80 : 627,55 € HT (Hexa, Burolia) à 1 685,63 € HT (Yoga). Hors livraison/montage.</t>
  </si>
  <si>
    <t xml:space="preserve">banque_accueil</t>
  </si>
  <si>
    <t xml:space="preserve">Banque d'accueil 2 postes (réception)</t>
  </si>
  <si>
    <t xml:space="preserve">HelloPro – Banque d'accueil Z2 pour deux personnes avec accès bas – Officity</t>
  </si>
  <si>
    <t xml:space="preserve">Extrait de résultat de recherche : Officity Z2 3 230,28 à 4 135,28 € HT selon finition ; Ofitres Avant ~2 505 à 2 790 € HT ; Mobel Linea Delta 1 871,41 € HT. Écotaxe et livraison non incluses.</t>
  </si>
  <si>
    <t xml:space="preserve">hikvision_nvr_8_voies</t>
  </si>
  <si>
    <t xml:space="preserve">Enregistreur NVR Hikvision 8 voies (sans caméras)</t>
  </si>
  <si>
    <t xml:space="preserve">Rakuten France – recherche NVR</t>
  </si>
  <si>
    <t xml:space="preserve">Extrait de résultat de recherche : NVR Hikvision DS-7108NI-Q1(D) dès 92,80 € ; NVR 8 voies PoE AcuSense dès 214,80 €. Kit complet 8 caméras non trouvé en EUR ; kit Hikvision EKI-K82T46B (NVR 8 voies + caméras 4 MP) : 870,95 CAD en promo (fleetnetwork.ca, épuisé), ~746 USD sur une fiche US.</t>
  </si>
  <si>
    <t xml:space="preserve">controle_acces_porte</t>
  </si>
  <si>
    <t xml:space="preserve">Contrôle d'accès – équipement par porte (hors pose)</t>
  </si>
  <si>
    <t xml:space="preserve">EUR par porte</t>
  </si>
  <si>
    <t xml:space="preserve">Companeo – Prix d'un contrôle d'accès en entreprise</t>
  </si>
  <si>
    <t xml:space="preserve">Extrait de résultat de recherche : 100 à 900 € par porte hors installation ; système complet supervisé/biométrique = plusieurs milliers d'euros. Badges : 2,50 € HT (Bricozor) à 14,07 € HT (Legrand Vigik) ; programmateur de badges Legrand 371,60 € HT. Coût de pose non trouvé.</t>
  </si>
  <si>
    <t xml:space="preserve">synology_ds923plus</t>
  </si>
  <si>
    <t xml:space="preserve">NAS Synology DS923+ (4 baies, sans disques)</t>
  </si>
  <si>
    <t xml:space="preserve">2022 (lancement) à 2025-07</t>
  </si>
  <si>
    <t xml:space="preserve">Mac4ever – Synology lance le NAS 4 baies DS923+</t>
  </si>
  <si>
    <t xml:space="preserve">Extrait de résultat de recherche : prix de lancement 729,95 € ; NASCompares France 755 € ; Dateks.lv 649,24 € (24/07/2025) ; eBay.de 766,31 €. Disques durs en sus.</t>
  </si>
  <si>
    <t xml:space="preserve">ubiquiti_unifi_udm_pro</t>
  </si>
  <si>
    <t xml:space="preserve">Ubiquiti UniFi Dream Machine Pro (routeur/passerelle)</t>
  </si>
  <si>
    <t xml:space="preserve">2026-07-02</t>
  </si>
  <si>
    <t xml:space="preserve">Comparateur-gamer.fr – Ubiquiti UniFi Dream Machine Pro (UDM-PRO)</t>
  </si>
  <si>
    <t xml:space="preserve">Extrait de résultat de recherche : PcComponentes 439 € ; LDLC 499,95 € ; Galaxus 429 €. Borne Wi-Fi U7 Pro : 150 € en promo au lieu de 192 € (MacGeneration, déc. 2025).</t>
  </si>
  <si>
    <t xml:space="preserve">epson_surecolor_p6500</t>
  </si>
  <si>
    <t xml:space="preserve">Imprimante grand format Epson SureColor SC-P6500E/DE (24")</t>
  </si>
  <si>
    <t xml:space="preserve">Comparateur-gamer.fr – Epson SC-P6500E (EAN 8715946699561)</t>
  </si>
  <si>
    <t xml:space="preserve">https://www.comparateur-gamer.fr/prix/epson-imprimante-jet-d-encre-multifonction-wi-fi-epson-sc-8715946699561</t>
  </si>
  <si>
    <t xml:space="preserve">Extrait de résultat de recherche : SC-P6500E 3 136,03 € chez InMac (+50 € livraison) ; SC-P6500DE 3 819 € (PcComponentes) ; Carrefour.es 3 312,61 € au lieu de 3 975,13 €. HT/TTC non précisé côté InMac.</t>
  </si>
  <si>
    <t xml:space="preserve">epson_surecolor_t5700d</t>
  </si>
  <si>
    <t xml:space="preserve">Traceur Epson SureColor SC-T5700D (36", double rouleau)</t>
  </si>
  <si>
    <t xml:space="preserve">EUR (HT → TTC Belgique)</t>
  </si>
  <si>
    <t xml:space="preserve">2026 (BE) / 2026-07-01 (FR)</t>
  </si>
  <si>
    <t xml:space="preserve">123inkt.be – Epson SureColor SC-T5700D 36 inch</t>
  </si>
  <si>
    <t xml:space="preserve">Extrait de résultat de recherche : 3 891,32 € HT / 4 708,50 € TVA 21 % incluse (Belgique). France (comparateur-gamer, 01/07/2026) : InMac 4 894,31 € (+50 €), autre offre 5 012,95 € (HT/TTC non précisé).</t>
  </si>
  <si>
    <t xml:space="preserve">canon_imageprograf_tm300</t>
  </si>
  <si>
    <t xml:space="preserve">Traceur Canon imagePROGRAF TM-300 (36")</t>
  </si>
  <si>
    <t xml:space="preserve">CAD</t>
  </si>
  <si>
    <t xml:space="preserve">DeployDepot.ca – Canon imagePROGRAF TM-300 3058C002</t>
  </si>
  <si>
    <t xml:space="preserve">https://deploydepot.ca/fr/products/canon-imageprograf-tm-300-inkjet-large-format-printer-36-print-width-color-3058c002</t>
  </si>
  <si>
    <t xml:space="preserve">Extrait de résultat de recherche : prix canadien (promo 6 313,99 / normal 6 795 CAD), produit en rupture. Aucun prix EUR trouvé ; canon.fr signale un nouveau modèle successeur.</t>
  </si>
  <si>
    <t xml:space="preserve">fret_lehavre_douala_cncc</t>
  </si>
  <si>
    <t xml:space="preserve">Fret maritime moyen Le Havre → Douala (conteneur)</t>
  </si>
  <si>
    <t xml:space="preserve">FCFA par conteneur</t>
  </si>
  <si>
    <t xml:space="preserve">2025-T2</t>
  </si>
  <si>
    <t xml:space="preserve">Cameroun24 – Fret maritime : pourquoi le coût d'un conteneur entre Abidjan et Douala a presque doublé en 2025 (données CNCC)</t>
  </si>
  <si>
    <t xml:space="preserve">https://cameroun24.net/article/76104-fret-maritime-pourquoi-le-cout-dun-conteneur-entre-abidjan-et-douala-a-presque-double-en-2025.html</t>
  </si>
  <si>
    <t xml:space="preserve">Extrait de résultat de recherche (page non récupérable, DNS) : 1,067 M FCFA au T2 2025, -19 % sur un an, selon le Conseil national des chargeurs du Cameroun. Format (20' probable) non précisé. ≈ 1 627 € à 655,957 FCFA/€ (calcul).</t>
  </si>
  <si>
    <t xml:space="preserve">fret_anvers_douala_cncc</t>
  </si>
  <si>
    <t xml:space="preserve">Fret maritime moyen Anvers → Douala (conteneur)</t>
  </si>
  <si>
    <t xml:space="preserve">Cameroun24 – Fret maritime (données CNCC)</t>
  </si>
  <si>
    <t xml:space="preserve">Extrait de résultat de recherche : 1,165 M FCFA au T2 2025, -9 % sur un an (CNCC). Format non précisé. ≈ 1 776 € (calcul).</t>
  </si>
  <si>
    <t xml:space="preserve">fret_moyen_douala_2025</t>
  </si>
  <si>
    <t xml:space="preserve">Coût moyen annuel du fret d'un conteneur à destination de Douala (toutes origines)</t>
  </si>
  <si>
    <t xml:space="preserve">Extrait de résultat de recherche : 1,312 M FCFA en 2025, -19 % sur un an ; ≈ 2 000 € (calcul). Fourchette commerciale générique d'un transitaire (BR Logistics, sans origine ni date) : 850 à 1 530 USD pour un 20' et 850 à 4 500 USD pour un 40' vers le Cameroun.</t>
  </si>
  <si>
    <t xml:space="preserve">fret_cmacgm_fak_kribi_2022</t>
  </si>
  <si>
    <t xml:space="preserve">Taux FAK CMA CGM Anvers/Rotterdam → Kribi (Cameroun), 20' et 40'</t>
  </si>
  <si>
    <t xml:space="preserve">EUR par conteneur (20ST → 40ST)</t>
  </si>
  <si>
    <t xml:space="preserve">2022-03</t>
  </si>
  <si>
    <t xml:space="preserve">AJOT – CMA CGM FAK rates from North Europe, West Mediterranean, Atlantic, Adriatic, Baltic, Scandinavia to West Africa</t>
  </si>
  <si>
    <t xml:space="preserve">Extrait de résultat de recherche : 1 975 € (20ST) et 2 425 € (40ST) pour Kribi, port camerounais voisin de Douala. Données anciennes (2022). Méditerranée → Douala (sept. 2021, AJOT) : Valence 1 640 €/2 380 €, Gênes 1 600 €/2 200 € (20ST/40ST). Le Havre → Kribi 40' : 2 875 € (mars 2022).</t>
  </si>
  <si>
    <t xml:space="preserve">surcharge_pss_douala</t>
  </si>
  <si>
    <t xml:space="preserve">Surcharge haute saison (PSS) conteneurs à destination de Douala</t>
  </si>
  <si>
    <t xml:space="preserve">USD par EVP (20')</t>
  </si>
  <si>
    <t xml:space="preserve">2025-10</t>
  </si>
  <si>
    <t xml:space="preserve">Container News – CMA CGM announces PSS on Douala shipments</t>
  </si>
  <si>
    <t xml:space="preserve">Extrait de résultat de recherche : CMA CGM 100 USD / 85 € / 75 £ par EVP dry dès le 1er octobre 2025, jusqu'à nouvel ordre. Maersk : 200 USD par 20' à partir du 27/10/2025 selon un résumé de recherche (source exacte non identifiée).</t>
  </si>
  <si>
    <t xml:space="preserve">transitaire_frais_dossier</t>
  </si>
  <si>
    <t xml:space="preserve">Commissionnaire en douane Douala – frais de dossier (barème)</t>
  </si>
  <si>
    <t xml:space="preserve">FCFA par dossier</t>
  </si>
  <si>
    <t xml:space="preserve">~2012 (mémoire non daté)</t>
  </si>
  <si>
    <t xml:space="preserve">Memoireonline – La facturation chez les commissionnaires en douane agréés (cas EOLIS Cameroun)</t>
  </si>
  <si>
    <t xml:space="preserve">Extrait de résultat de recherche : frais de dossier 25 000 FCFA ; honoraires d'agréé en douane (HAD) selon barème douanier, remise plafonnée à 15 %. Source ancienne, probablement périmée ; aucun barème actuel trouvé.</t>
  </si>
  <si>
    <t xml:space="preserve">Droit de douane TEC CEMAC – 4 catégories</t>
  </si>
  <si>
    <t xml:space="preserve">Lefisk.cm – Simulateur de droits de douane</t>
  </si>
  <si>
    <t xml:space="preserve">Extrait de résultat de recherche : cat. 0/I biens sociaux essentiels 5 % ; cat. 1/II matières premières et biens d'équipement 10 % ; cat. 2/III intrants/demi-produits 20 % ; cat. 3/IV biens de consommation 30 %. Confirmé par GTAI. Classement précis des appareils photo (8525), ordinateurs (8471), mobilier (9403) et CCTV non confirmé. Code des douanes CEMAC harmonisé en vigueur au 01/01/2026 (Deloitte).</t>
  </si>
  <si>
    <t xml:space="preserve">tva_cameroun</t>
  </si>
  <si>
    <t xml:space="preserve">TVA Cameroun (taux général, applicable à l'import)</t>
  </si>
  <si>
    <t xml:space="preserve">DGI Cameroun – Fiche TVA</t>
  </si>
  <si>
    <t xml:space="preserve">Extrait de résultat de recherche : 17,5 % + 10 % de centimes additionnels communaux = 19,25 %. Base à l'import : valeur en douane + droits et taxes.</t>
  </si>
  <si>
    <t xml:space="preserve">Taxe/contribution communautaire d'intégration (TCI/CCI) sur imports hors zone</t>
  </si>
  <si>
    <t xml:space="preserve">GTAI – Zollbericht Kamerun : Zölle und Einfuhrabgaben</t>
  </si>
  <si>
    <t xml:space="preserve">Extrait de résultat de recherche : 1 % sur les importations de pays tiers. Le même guide cite aussi une contribution africaine d'intégration de 0,2 %.</t>
  </si>
  <si>
    <t xml:space="preserve">redevance_ohada</t>
  </si>
  <si>
    <t xml:space="preserve">Prélèvement OHADA sur importations hors CEMAC</t>
  </si>
  <si>
    <t xml:space="preserve">Extrait de résultat de recherche : 0,05 % sur les importations de pays tiers, hors États CEMAC.</t>
  </si>
  <si>
    <t xml:space="preserve">redevance_informatique</t>
  </si>
  <si>
    <t xml:space="preserve">Redevance informatique (dédouanement électronique)</t>
  </si>
  <si>
    <t xml:space="preserve">Extrait de résultat de recherche : sources divergentes. GTAI 1 % ; lefisk.cm 0,5 % ; document Scribd non daté 0,45 % (« computer fee 0.45 % »). Taux à confirmer auprès de la DGD/guichet unique.</t>
  </si>
  <si>
    <t xml:space="preserve">Précompte sur achats à l'importation (acompte d'impôt)</t>
  </si>
  <si>
    <t xml:space="preserve">% de la valeur (base import)</t>
  </si>
  <si>
    <t xml:space="preserve">2013 (texte ancien)</t>
  </si>
  <si>
    <t xml:space="preserve">DGB Cameroun – Projet de loi de finances 2013</t>
  </si>
  <si>
    <t xml:space="preserve">https://www.dgb.cm/T%C3%A9l%C3%A9charger/2301/2013/28509/projet-de-loi-de-finances-2013-2.pdf</t>
  </si>
  <si>
    <t xml:space="preserve">Extrait de résultat de recherche : 10 % pour les entreprises sans carte de contribuable, 5 % selon le statut ; un mémoire ancien cite 1 % pour les commerçants (achats pour revente en l'état), les industriels au réel n'étant pas soumis pour leur exploitation. Taux en vigueur en 2025-2026 non confirmé ; la LF 2026 étend le précompte au numérique (Deloitte).</t>
  </si>
  <si>
    <t xml:space="preserve">utilities_market</t>
  </si>
  <si>
    <t xml:space="preserve">eneo_bt_non_residentiel_energie</t>
  </si>
  <si>
    <t xml:space="preserve">Électricité ENEO, basse tension, usage non résidentiel (professionnel) : prix de l'énergie par tranche</t>
  </si>
  <si>
    <t xml:space="preserve">FCFA/kWh (HT)</t>
  </si>
  <si>
    <t xml:space="preserve">capture de déc. 2019 (grille issue de la décision ARSEL de 2012)</t>
  </si>
  <si>
    <t xml:space="preserve">Cameroon ENEO Tariffs website (ESMAP RISE, capture de la page tarifs ENEO)</t>
  </si>
  <si>
    <t xml:space="preserve">Tranches mensuelles : jusqu'à 110 kWh = 84 FCFA/kWh ; 111 à 400 kWh = 92 ; 401 à 1000 kWh = 99. Chiffres tirés de l'extrait de résultat de recherche, car le PDF n'a pas pu être téléchargé (erreur DNS). Selon le Journal du Cameroun, les ménages et petites entreprises en basse tension sont exclus des hausses récentes et restent sous la décision ARSEL de 2012. TVA et redevances non incluses. À confirmer sur une facture ENEO réelle.</t>
  </si>
  <si>
    <t xml:space="preserve">eneo_regime_general_energie</t>
  </si>
  <si>
    <t xml:space="preserve">Électricité ENEO, régime général (puissance souscrite &lt; 1 MW) : prix de l'énergie selon l'horaire</t>
  </si>
  <si>
    <t xml:space="preserve">capture de déc. 2019</t>
  </si>
  <si>
    <t xml:space="preserve">Cameroon ENEO Tariffs website (ESMAP RISE)</t>
  </si>
  <si>
    <t xml:space="preserve">De 23h à 18h : 70, 65 ou 60 FCFA/kWh selon le palier d'heures d'utilisation mensuelles. Pointe de 18h à 23h : 85 FCFA/kWh. S'ajoute une prime fixe mensuelle de 3 700 FCFA par kW de puissance souscrite. Grille a priori moyenne tension (à confirmer), soumise depuis 2024 aux hausses de 5 %/an (voir item suivant). Extrait de résultat de recherche.</t>
  </si>
  <si>
    <t xml:space="preserve">eneo_mt_hausse_annuelle</t>
  </si>
  <si>
    <t xml:space="preserve">Électricité : hausse annuelle des tarifs moyenne tension et grands comptes (2024-2025)</t>
  </si>
  <si>
    <t xml:space="preserve">% par an</t>
  </si>
  <si>
    <t xml:space="preserve">depuis janvier 2024 (décision ARSEL du 12/12/2022, période 2023-2025)</t>
  </si>
  <si>
    <t xml:space="preserve">Journal du Cameroun : l'augmentation du prix de l'électricité ne concerne pas les ménages</t>
  </si>
  <si>
    <t xml:space="preserve">https://fr.journalducameroun.com/cameroun-laugmentation-du-prix-de-lelectricite-ne-concerne-pas-les-menages/</t>
  </si>
  <si>
    <t xml:space="preserve">+5 %/an pour les clients moyenne tension jusqu'à 3 MW, +10 %/an entre 3 et 10 MW. Les clients domestiques et les petites entreprises en basse tension ne sont pas concernés. Voir aussi Ecomatin : https://ecomatin.net/cameroun-les-tarifs-de-lelectricite-augmentent-pour-les-clients-industriels. Extrait de résultat de recherche.</t>
  </si>
  <si>
    <t xml:space="preserve">eneo_bt_residentiel_reforme_2024</t>
  </si>
  <si>
    <t xml:space="preserve">Électricité ENEO, basse tension résidentiel (référence) : tranches après la réforme du 1er nov. 2024</t>
  </si>
  <si>
    <t xml:space="preserve">novembre 2024</t>
  </si>
  <si>
    <t xml:space="preserve">Camer.be : réforme tarifaire ENEO du prépayé</t>
  </si>
  <si>
    <t xml:space="preserve">https://www.camer.be/87210/11:1/societe</t>
  </si>
  <si>
    <t xml:space="preserve">0 à 110 kWh : 50 FCFA/kWh hors TVA ; 111 à 220 kWh : 79 FCFA/kWh ; tranches supérieures à 94 et 99 FCFA/kWh (décision ARSEL n°0096 de mai 2012). Depuis le 1/11/2024, le prépayé est aligné sur le postpayé : les clients prépayés au-delà de 220 kWh paient 79 FCFA/kWh TTC selon ENEO. Le seuil de la 2e tranche varie selon les sources (200 ou 220 kWh). Extrait de résultat de recherche.</t>
  </si>
  <si>
    <t xml:space="preserve">groupe_electrogene_20_30kva_unicef</t>
  </si>
  <si>
    <t xml:space="preserve">Groupe électrogène diesel 20 à 30 kVA : prix indicatif du catalogue UNICEF (hors transport, douane et installation)</t>
  </si>
  <si>
    <t xml:space="preserve">USD</t>
  </si>
  <si>
    <t xml:space="preserve">2026 (catalogue en ligne)</t>
  </si>
  <si>
    <t xml:space="preserve">UNICEF Supply Catalogue : Diesel Generators</t>
  </si>
  <si>
    <t xml:space="preserve">https://sd-scat-prod.unicef.org/all-materials/power-generation/diesel-generators.html?p=2</t>
  </si>
  <si>
    <t xml:space="preserve">20 kVA refroidi par eau : 6 313,26 USD. 30 kVA refroidi par air : 6 519,18 USD et 7 853,05 USD selon la fiche. Une fiche 20 kVA à 19 000 USD est jugée aberrante et exclue. Prix internationaux fournisseur, pas des prix camerounais. La page du catalogue (p=2, 4 ou 5) qui porte chaque fiche n'est pas identifiable dans l'extrait. Extrait de résultat de recherche.</t>
  </si>
  <si>
    <t xml:space="preserve">groupe_electrogene_triphase_france</t>
  </si>
  <si>
    <t xml:space="preserve">Groupe électrogène triphasé 10 à 60 kVA : fourchette de prix d'achat en France (référence import)</t>
  </si>
  <si>
    <t xml:space="preserve">Hellopro : guide des prix des groupes électrogènes</t>
  </si>
  <si>
    <t xml:space="preserve">Environ 1,97 à 9,84 M FCFA à la parité 655,957. Le triphasé 400 V, le capotage insonorisé ou le démarrage automatique (ATS) ajoutent 20 à 40 % au prix à puissance égale. Exemple : un 20 kVA diesel Könner &amp; Söhnen listé à 5 872 € sur Touslesprix (https://www.touslesprix.com/achat,groupe-electrogene-20-kva.html). Hors fret, douane et installation au Cameroun. Extrait de résultat de recherche.</t>
  </si>
  <si>
    <t xml:space="preserve">groupe_electrogene_occasion_yaounde</t>
  </si>
  <si>
    <t xml:space="preserve">Groupe électrogène Genelec 13,5 kVA d'occasion, en panne : mise à prix d'une vente UE ECHO à Yaoundé</t>
  </si>
  <si>
    <t xml:space="preserve">FCFA (prix minimum)</t>
  </si>
  <si>
    <t xml:space="preserve">Avis de vente UE ECHO : groupe électrogène</t>
  </si>
  <si>
    <t xml:space="preserve">https://www.eeas.europa.eu/sites/default/files/2026/documents/Avis%20de%20vente%20UE%20ECHO_Groupe%20%C3%A9lectrog%C3%A8ne.pdf</t>
  </si>
  <si>
    <t xml:space="preserve">Seul prix en FCFA trouvé au Cameroun pour un groupe électrogène : mise à prix minimale d'un groupe acheté en 2016 et hors service. Ne vaut pas prix de référence pour du neuf en 20 à 30 kVA. Extrait de résultat de recherche.</t>
  </si>
  <si>
    <t xml:space="preserve">solaire_cout_installation_kw</t>
  </si>
  <si>
    <t xml:space="preserve">Solaire photovoltaïque : coût d'installation par kW (hypothèse de planification pour le Cameroun)</t>
  </si>
  <si>
    <t xml:space="preserve">FCFA/kW installé</t>
  </si>
  <si>
    <t xml:space="preserve">Afrotools : calculateur de ROI solaire Cameroun</t>
  </si>
  <si>
    <t xml:space="preserve">https://afrotools.com/fr/tools/roi-solaire/cameroon/</t>
  </si>
  <si>
    <t xml:space="preserve">Valeurs préchargées par le calculateur : 550 000 FCFA par kW installé, plus un budget batterie de 550 000 FCFA ; hypothèses de 70 FCFA/kWh pour l'électricité et de 730 FCFA/l pour le carburant. C'est une hypothèse de planification, pas un devis : le site recommande d'en demander un. Extrait de résultat de recherche.</t>
  </si>
  <si>
    <t xml:space="preserve">carburant_gasoil_pompe</t>
  </si>
  <si>
    <t xml:space="preserve">Prix à la pompe du gasoil (pour le coût de fonctionnement d'un groupe)</t>
  </si>
  <si>
    <t xml:space="preserve">depuis le 3 février 2024</t>
  </si>
  <si>
    <t xml:space="preserve">Ecomatin : l'État prévoit une baisse de 94,2 % de la subvention des prix des carburants en 2025</t>
  </si>
  <si>
    <t xml:space="preserve">https://ecomatin.net/cameroun-letat-prevoit-une-baisse-de-942-de-la-subvention-des-prix-des-carburants-en-2025</t>
  </si>
  <si>
    <t xml:space="preserve">Hausse d'environ 15 % au 3/2/2024 : gasoil 828 FCFA/l (+108), super 840 FCFA/l (+110). Le gasoil est passé de 545 à 828 FCFA entre février 2023 et février 2024 (+52 %). Le PLF 2025 prévoyait de réduire fortement les subventions, mais une réintroduction de 254 Md FCFA est ensuite évoquée, donc le prix 2025-2026 n'est pas confirmé. Chiffres présents dans les extraits (Ecomatin, Journal du Cameroun, L'Essentiel de l'Éco) ; l'attribution exacte à l'un de ces sites reste à confirmer.</t>
  </si>
  <si>
    <t xml:space="preserve">internet_camtel_fibre_entree_gamme</t>
  </si>
  <si>
    <t xml:space="preserve">Internet : fibre illimitée Camtel (Blue), entrée de gamme</t>
  </si>
  <si>
    <t xml:space="preserve">FCFA/mois (8 Mbps)</t>
  </si>
  <si>
    <t xml:space="preserve">Temovision : Forfaits Internet au Cameroun 2026, qui est le moins cher ?</t>
  </si>
  <si>
    <t xml:space="preserve">https://temovision.com/fr/forfaits-internet-au-cameroun/</t>
  </si>
  <si>
    <t xml:space="preserve">Citation de l'extrait : « La fibre optique illimitée de Camtel commence à 25 000 XAF pour 8 Mbps ». La source ne dit pas si l'offre est résidentielle ou professionnelle ; aucune offre pro à débit garanti n'a été trouvée. Extrait de résultat de recherche, page non récupérable.</t>
  </si>
  <si>
    <t xml:space="preserve">internet_orange_illimite_30j</t>
  </si>
  <si>
    <t xml:space="preserve">Internet : forfait Orange Cameroun illimité 30 jours</t>
  </si>
  <si>
    <t xml:space="preserve">FCFA/30 jours (débit plafonné à 2-5 Mbps)</t>
  </si>
  <si>
    <t xml:space="preserve">Forfait qui ne vise pas spécifiquement les entreprises. Ecomatin (article non daté) annonçait aussi une box Orange « Infinity » à partir de 14 900 FCFA/mois à Douala et Yaoundé : https://ecomatin.net/le-dg-dorange-repond-aux-sollicitations-des-camerounais-a-travers-une-offre-innovante. Extrait de résultat de recherche.</t>
  </si>
  <si>
    <t xml:space="preserve">internet_box_adsl_fourchette</t>
  </si>
  <si>
    <t xml:space="preserve">Internet : box ADSL/fixe, fourchette de coût mensuel</t>
  </si>
  <si>
    <t xml:space="preserve">Ecomatin : TIC, le Cameroun compte plus de 50 fournisseurs d'accès Internet en activité</t>
  </si>
  <si>
    <t xml:space="preserve">Étude citée par Ecomatin : le coût varie de 20 000 à 45 000 FCFA par mois selon les besoins de l'utilisateur. Date de l'article à vérifier. Extrait de résultat de recherche.</t>
  </si>
  <si>
    <t xml:space="preserve">mtn_momo_collecte_api_officiel</t>
  </si>
  <si>
    <t xml:space="preserve">MTN MoMo Cameroun : frais de collecte du widget et de l'API Collections (barème officiel)</t>
  </si>
  <si>
    <t xml:space="preserve">% par transaction</t>
  </si>
  <si>
    <t xml:space="preserve">2025-2026 (page MoMo API)</t>
  </si>
  <si>
    <t xml:space="preserve">MTN MoMo API : Cameroon Collections Widget Details</t>
  </si>
  <si>
    <t xml:space="preserve">https://momoapi.mtn.com/Cameroon_Widget_productDetails</t>
  </si>
  <si>
    <t xml:space="preserve">Extrait : « a fee of 1% shall be charged per transaction », négociable entre MTN Mobile Money Cameroon et le client. Voir aussi la page Collections : https://momoapi.mtn.com/Cameroon_Collection_productDetails. MTN a annoncé en mars 2026 des paiements marchands sans frais pour le client payeur (AllAfrica : https://fr.allafrica.com/stories/202603310593.html). Extrait de résultat de recherche.</t>
  </si>
  <si>
    <t xml:space="preserve">mtn_momo_encaissement_marchand_estime</t>
  </si>
  <si>
    <t xml:space="preserve">MTN MoMo : commission d'encaissement marchand (estimations d'un blog)</t>
  </si>
  <si>
    <t xml:space="preserve">Kolonell : MTN MoMo merchant fees Cameroon 2026</t>
  </si>
  <si>
    <t xml:space="preserve">https://kolonell.com/en/blog/mtn-momo-merchant-fees-cameroon-2026</t>
  </si>
  <si>
    <t xml:space="preserve">Un même éditeur donne des chiffres incohérents selon ses articles : 1 %, 1,0-1,5 %, environ 1,6 %, 1,5-2 %. Plafond journalier cité : 5 000 000 FCFA. Ce sont des ordres de grandeur non officiels. Extrait de résultat de recherche.</t>
  </si>
  <si>
    <t xml:space="preserve">orange_money_encaissement_marchand_estime</t>
  </si>
  <si>
    <t xml:space="preserve">Orange Money Cameroun : commission d'encaissement marchand (estimations d'un blog)</t>
  </si>
  <si>
    <t xml:space="preserve">Kolonell : coût réel d'encaissement Orange Money au Cameroun pour un commerçant (2026)</t>
  </si>
  <si>
    <t xml:space="preserve">https://kolonell.com/fr/blog/cout-reel-encaissement-orange-money-cameroun-commercant-2026</t>
  </si>
  <si>
    <t xml:space="preserve">Chiffres cités par le même éditeur : 1,5 %, 1,0-1,7 % et environ 1,8 % côté marchand. Coût total cash-out compris estimé à environ 3,5 % (contre environ 3 % chez MTN). Aucun barème officiel Orange trouvé. Extrait de résultat de recherche.</t>
  </si>
  <si>
    <t xml:space="preserve">mtn_momo_frais_retrait</t>
  </si>
  <si>
    <t xml:space="preserve">MTN MoMo : frais de retrait (cash-out des encaissements)</t>
  </si>
  <si>
    <t xml:space="preserve">% du montant (+4 FCFA de taxe via USSD)</t>
  </si>
  <si>
    <t xml:space="preserve">Digital Business Africa : les tarifs de retrait de MTN Mobile Money (MoMo) en 2025</t>
  </si>
  <si>
    <t xml:space="preserve">https://www.digitalbusiness.africa/cameroun-les-tarifs-de-retrait-de-mtn-mobile-money-momo-en-2025/</t>
  </si>
  <si>
    <t xml:space="preserve">1 % via l'application MoMo pour les retraits supérieurs à 5 000 FCFA ; 1,5 % + 4 FCFA via *126#. Les dépôts sont gratuits. Extrait de résultat de recherche.</t>
  </si>
  <si>
    <t xml:space="preserve">orange_money_frais_retrait</t>
  </si>
  <si>
    <t xml:space="preserve">Orange Money Cameroun : frais de retrait</t>
  </si>
  <si>
    <t xml:space="preserve">% du montant</t>
  </si>
  <si>
    <t xml:space="preserve">article antérieur à 2025 / barème 2022</t>
  </si>
  <si>
    <t xml:space="preserve">Ecomatin : Orange Cameroun abaisse ses tarifs mobile money et relève les plafonds de retrait</t>
  </si>
  <si>
    <t xml:space="preserve">https://ecomatin.net/mobile-money-orange-cameroun-abaisse-ses-tarifs-et-releve-les-plafonds-de-retrait</t>
  </si>
  <si>
    <t xml:space="preserve">Ecomatin : 1,5 % du montant, plafonné à 3 500 FCFA. Cameroon Tribune (harmonisation de 2022, https://cameroon-tribune.cm/article.html/47269/fr.html/details_2) : retrait à 2 % (minimum 50 F), transfert à 0,5 % plafonné à 500 F, dépôt gratuit. Ces barèmes sont peut-être obsolètes. Extrait de résultat de recherche.</t>
  </si>
  <si>
    <t xml:space="preserve">taxe_etat_mobile_money</t>
  </si>
  <si>
    <t xml:space="preserve">Taxe de l'État sur les transferts et retraits mobile money</t>
  </si>
  <si>
    <t xml:space="preserve">% + 4 FCFA par transaction</t>
  </si>
  <si>
    <t xml:space="preserve">depuis janvier 2022 (forfait de 4 FCFA ajouté ensuite)</t>
  </si>
  <si>
    <t xml:space="preserve">Business in Cameroon : Cameroon's mobile money transactions rise almost fourfold in five years despite new taxes</t>
  </si>
  <si>
    <t xml:space="preserve">https://www.businessincameroon.com/finance/2110-15212-cameroon-s-mobile-money-transactions-rise-almost-fourfold-in-five-years-despite-new-taxes</t>
  </si>
  <si>
    <t xml:space="preserve">Taxe de 0,2 % sur les transferts et retraits via portefeuille mobile, complétée ensuite par un forfait de 4 FCFA par transaction, étendu aux banques et aux microfinances. Extrait de résultat de recherche.</t>
  </si>
  <si>
    <t xml:space="preserve">cinetpay_frais_transaction</t>
  </si>
  <si>
    <t xml:space="preserve">CinetPay : frais de transaction marchand (Afrique francophone)</t>
  </si>
  <si>
    <t xml:space="preserve">% par transaction (hors frais de reversement)</t>
  </si>
  <si>
    <t xml:space="preserve">TechCabal (FR) : article sur CinetPay</t>
  </si>
  <si>
    <t xml:space="preserve">https://techcabal.com/fr/?p=179865</t>
  </si>
  <si>
    <t xml:space="preserve">Frais de 2,5 à 3,5 % selon le pays et le moyen de paiement, plus des frais de reversement de 1,2 à 2 % avant le versement sur le compte bancaire ou mobile money. En Côte d'Ivoire, chiffres indicatifs 2026 de Kolonell (https://kolonell.com/fr/blog/cinetpay-integration-tarifs-commissions-cote-ivoire-2026) : mobile money environ 3 % + 50 FCFA, carte environ 3,2 % + 100 FCFA, versement à J+2. Aucune grille officielle pour le Cameroun. Extrait de résultat de recherche.</t>
  </si>
  <si>
    <t xml:space="preserve">jumia_commission_nigeria</t>
  </si>
  <si>
    <t xml:space="preserve">Jumia Nigeria : commission vendeur par catégorie</t>
  </si>
  <si>
    <t xml:space="preserve">% du prix de vente</t>
  </si>
  <si>
    <t xml:space="preserve">Kolonell : Sell on Jumia vs own store, Nigeria 2026</t>
  </si>
  <si>
    <t xml:space="preserve">https://kolonell.com/en/blog/sell-on-jumia-vs-own-store-nigeria-2026</t>
  </si>
  <si>
    <t xml:space="preserve">Mode et accessoires 12-20 % ; beauté 12-18 % ; électronique 5-10 % ; maison et cuisine 10-15 % ; épicerie 8-12 %. Frais de manutention et de logistique en plus. Estimation d'un tiers, pas la grille officielle : la grille Jumia en vigueur au 15/01/2026 sur vendor.jumia.com n'était pas lisible. Attribution probable à cet article Kolonell. Extrait de résultat de recherche.</t>
  </si>
  <si>
    <t xml:space="preserve">jumia_commission_senegal</t>
  </si>
  <si>
    <t xml:space="preserve">Jumia Sénégal : commission vendeur par catégorie (+ frais fixes par commande)</t>
  </si>
  <si>
    <t xml:space="preserve">mai 2026</t>
  </si>
  <si>
    <t xml:space="preserve">Kolonell : marketplace locale vs Jumia au Sénégal (2026)</t>
  </si>
  <si>
    <t xml:space="preserve">https://kolonell.com/fr/blog/marketplace-local-vs-jumia-senegal-2026</t>
  </si>
  <si>
    <t xml:space="preserve">Mode 18 %, beauté 22 %, électronique 12 %, maison et bureau 15 %, supermarché 14 %. Frais fixes de 800 à 1 500 FCFA par commande selon la catégorie. Jumia aurait fermé au Sénégal en 2024 puis rouvert fin 2025 en version allégée (4 catégories). Blog de consultant. Extrait de résultat de recherche.</t>
  </si>
  <si>
    <t xml:space="preserve">jumia_take_rate_afrique_ouest</t>
  </si>
  <si>
    <t xml:space="preserve">Jumia : take rate e-commerce produits (Nigeria, Sénégal, Côte d'Ivoire)</t>
  </si>
  <si>
    <t xml:space="preserve">% du GMV</t>
  </si>
  <si>
    <t xml:space="preserve">Kolonell : take rate des marketplaces en Afrique, modèles 2026</t>
  </si>
  <si>
    <t xml:space="preserve">Seule fourchette couvrant la Côte d'Ivoire ; aucun barème officiel ivoirien trouvé. Pour le Kenya, seule source : un pitch deck Jumia non daté (mode 30 %, téléphones à partir de 5 %, https://www.slideshare.net/slideshow/jumia-marketplace-pitch/40861471), probablement obsolète. Extrait de résultat de recherche.</t>
  </si>
  <si>
    <t xml:space="preserve">jumia_sortie_cameroun</t>
  </si>
  <si>
    <t xml:space="preserve">Jumia : arrêt de l'activité e-commerce au Cameroun</t>
  </si>
  <si>
    <t xml:space="preserve">année (18 novembre 2019)</t>
  </si>
  <si>
    <t xml:space="preserve">18/11/2019</t>
  </si>
  <si>
    <t xml:space="preserve">Quartz : Jumia shuts down in Cameroon as African e-commerce struggles</t>
  </si>
  <si>
    <t xml:space="preserve">https://qz.com/africa/1751659/jumia-shuts-down-in-cameroon-as-african-e-commerce-struggles</t>
  </si>
  <si>
    <t xml:space="preserve">Portail transactionnel et bureaux fermés le 18/11/2019, modèle jugé « inadapté » à l'environnement local. Seul le site d'annonces deals.jumia.cm a été maintenu. Troisième départ après Cdiscount (2016) et Afrimarket (2019). Également rapporté par ITWeb, TechNext et Sagaci Research. Aucun retour de Jumia au Cameroun trouvé. Extrait de résultat de recherche.</t>
  </si>
  <si>
    <t xml:space="preserve">ecommerce_cameroun_ca_2025</t>
  </si>
  <si>
    <t xml:space="preserve">Marché e-commerce camerounais : chiffre d'affaires 2025</t>
  </si>
  <si>
    <t xml:space="preserve">millions USD</t>
  </si>
  <si>
    <t xml:space="preserve">ECDB : E-Commerce Industry in Cameroon</t>
  </si>
  <si>
    <t xml:space="preserve">https://ecdb.com/resources/sample-data/market/cm/all</t>
  </si>
  <si>
    <t xml:space="preserve">Croissance de 15 à 20 % par rapport à l'année précédente ; la vente en ligne pèse 0 à 5 % du commerce de détail. Méthodologie non publiée ; aucune donnée Statista ni INS trouvée. Extrait de résultat de recherche.</t>
  </si>
  <si>
    <t xml:space="preserve">panier_moyen_ecommerce_douala_yaounde</t>
  </si>
  <si>
    <t xml:space="preserve">Panier moyen e-commerce à Douala et Yaoundé</t>
  </si>
  <si>
    <t xml:space="preserve">Kolonell : comparatif des moyens de paiement e-commerce au Cameroun (2026)</t>
  </si>
  <si>
    <t xml:space="preserve">Chiffre de blog sans étude citée. L'extrait ne permet pas de dire lequel des deux articles Kolonell remontés contient ce chiffre : celui-ci ou https://kolonell.com/fr/blog/creer-boutique-en-ligne-paiement-mobile-money-cameroun-2026. Extrait de résultat de recherche.</t>
  </si>
  <si>
    <t xml:space="preserve">usage_ecommerce_internautes</t>
  </si>
  <si>
    <t xml:space="preserve">Part des internautes camerounais utilisant le e-commerce (achat et/ou vente)</t>
  </si>
  <si>
    <t xml:space="preserve">% des internautes</t>
  </si>
  <si>
    <t xml:space="preserve">2018</t>
  </si>
  <si>
    <t xml:space="preserve">Camer.be : Commerce électronique, difficile percée des géants du e-commerce au Cameroun</t>
  </si>
  <si>
    <t xml:space="preserve">https://www.camer.be/58315/12:1/cameroon-commerce-electronique-difficile-percee-des-geants-du-e-commerce-au-cameroun.html</t>
  </si>
  <si>
    <t xml:space="preserve">Étude Dina Surveys (déc. 2018 à fév. 2019) : 27 % en 2018, contre 4 % quelques années plus tôt. Selon l'indice CNUCED 2018, le Cameroun est le 10e marché e-commerce africain et 65 % des commandes en ligne passent par smartphone. Données anciennes. Extrait de résultat de recherche.</t>
  </si>
  <si>
    <t xml:space="preserve">photo_produit_packshot</t>
  </si>
  <si>
    <t xml:space="preserve">Photo produit packshot sur fond blanc à Douala et Yaoundé</t>
  </si>
  <si>
    <t xml:space="preserve">FCFA par produit</t>
  </si>
  <si>
    <t xml:space="preserve">août 2026</t>
  </si>
  <si>
    <t xml:space="preserve">Kolonell : catalogue produits d'une boutique en ligne à Douala et Yaoundé (2026)</t>
  </si>
  <si>
    <t xml:space="preserve">Fourchette globale de production photo : 5 000 à 15 000 FCFA par produit. Blog sans méthodologie. Studios locaux repérés dans l'annuaire maligah.com, sans tarifs publiés : Dallarco Pictures (Yaoundé, photo produit), Vvippics, SFBASS et Steve Mvondo Photography (Douala). Extrait de résultat de recherche.</t>
  </si>
  <si>
    <t xml:space="preserve">photo_produit_lifestyle</t>
  </si>
  <si>
    <t xml:space="preserve">Photo produit mise en scène (lifestyle) à Douala et Yaoundé</t>
  </si>
  <si>
    <t xml:space="preserve">Même source : vidéo courte de produit à 15 000-25 000 FCFA. Aucun tarif par séance ni de studio haut de gamme trouvé. Extrait de résultat de recherche.</t>
  </si>
  <si>
    <t xml:space="preserve">community_manager_salaire_talentup</t>
  </si>
  <si>
    <t xml:space="preserve">Community manager salarié au Cameroun : salaire de base</t>
  </si>
  <si>
    <t xml:space="preserve">XAF (période non précisée dans l'extrait)</t>
  </si>
  <si>
    <t xml:space="preserve">TalentUp : How much does a Community Manager earn in Cameroon?</t>
  </si>
  <si>
    <t xml:space="preserve">https://talentup.io/en/salary/Community Manager/Cameroon</t>
  </si>
  <si>
    <t xml:space="preserve">La période (annuelle ou mensuelle) n'apparaît pas dans l'extrait. Si le montant est annuel, cela fait environ 169 500 FCFA/mois (à vérifier). Le tableau par niveau d'expérience est vide. Extrait de résultat de recherche.</t>
  </si>
  <si>
    <t xml:space="preserve">community_manager_freelance_proxy</t>
  </si>
  <si>
    <t xml:space="preserve">Community manager freelance débutant : tarif mensuel (proxy Burkina Faso)</t>
  </si>
  <si>
    <t xml:space="preserve">Legrandfrere : gestionnaire de communauté (community manager), formation, missions et salaire en Afrique de l'Ouest</t>
  </si>
  <si>
    <t xml:space="preserve">https://legrandfrere.africa/metier/gestionnaire-de-communaute-community-manager/</t>
  </si>
  <si>
    <t xml:space="preserve">Donnée Burkina Faso, pas Cameroun. Au Cameroun, Cameroon Desks (déc. 2025) présente « 200 000 FCFA+ par mois » comme objectif de revenu d'un CM freelance multi-clients, pas comme tarif par client (https://www.cameroondesks.com/2025/12/community-manager-freelance-comment-mic.html). Une annonce Codeur.com de juin 2024 pour un CM au Cameroun affichait un budget inférieur à 500 €. Extrait de résultat de recherche.</t>
  </si>
  <si>
    <t xml:space="preserve">facebook_ads_cpm_afrique_comparables</t>
  </si>
  <si>
    <t xml:space="preserve">Facebook Ads : CPM sur des marchés africains comparables (Nigeria, Kenya)</t>
  </si>
  <si>
    <t xml:space="preserve">USD pour 1 000 impressions</t>
  </si>
  <si>
    <t xml:space="preserve">Stackmatix : Facebook ads CPM by country 2026</t>
  </si>
  <si>
    <t xml:space="preserve">https://stackmatix.com/blog/facebook-ads-cpm-by-country-2026</t>
  </si>
  <si>
    <t xml:space="preserve">Nigeria 0,80-2,20 $ (+15 % sur un an) ; Kenya 0,90-2,40 $ ; Égypte 1,00-2,80 $ ; Afrique du Sud 2,20-4,60 $. Grey.co donne un CPM moyen d'environ 1,50 $ au Nigeria (https://grey.co/blog/facebook-ads-cost-nigeria). Médiane mondiale : 5,97 $ (Vaizle). Aucune donnée spécifique au Cameroun ou à l'Afrique centrale. Extrait de résultat de recherche.</t>
  </si>
  <si>
    <t xml:space="preserve">flyers_a5_1000_reference_europe</t>
  </si>
  <si>
    <t xml:space="preserve">Impression de 1 000 flyers A5 recto-verso : référence Europe (aucun prix Cameroun trouvé)</t>
  </si>
  <si>
    <t xml:space="preserve">Hellopro : combien coûte un service d'impression tous supports ?</t>
  </si>
  <si>
    <t xml:space="preserve">https://conseils.hellopro.fr/combien-coute-un-service-d-impression-tous-supports-1880.html</t>
  </si>
  <si>
    <t xml:space="preserve">65 à 95 € en 135 g (90 à 130 € pelliculé). Un autre guide donne 40 à 70 € (https://quillbot.com/fr/blog/design-et-branding/flyer-pas-cher/) ; attribution entre les deux probable. Cela fait environ 26 000 à 62 000 FCFA à la parité, mais ce n'est pas transposable au Cameroun. Un forum expat.com signale une forte guerre des prix entre imprimeurs de Douala, sans montant. Extrait de résultat de recherche.</t>
  </si>
  <si>
    <t xml:space="preserve">gardiennage_salaire_vigile</t>
  </si>
  <si>
    <t xml:space="preserve">Salaire mensuel d'un agent de gardiennage (vigile)</t>
  </si>
  <si>
    <t xml:space="preserve">FCFA/mois (net, hors primes)</t>
  </si>
  <si>
    <t xml:space="preserve">2016</t>
  </si>
  <si>
    <t xml:space="preserve">Camer.be : article sur les sociétés de gardiennage</t>
  </si>
  <si>
    <t xml:space="preserve">https://www.camer.be/52784/11:1/societe</t>
  </si>
  <si>
    <t xml:space="preserve">Source journalistique de 2016, sans primes. Le prix facturé au client (marge, charges sociales, encadrement, équipement) est plus élevé mais n'a pas été trouvé. Extrait de résultat de recherche.</t>
  </si>
  <si>
    <t xml:space="preserve">gardiennage_marche_public_sni</t>
  </si>
  <si>
    <t xml:space="preserve">Marché public de gardiennage multi-sites (SNI) : coût prévisionnel annuel</t>
  </si>
  <si>
    <t xml:space="preserve">FCFA TTC pour 12 mois</t>
  </si>
  <si>
    <t xml:space="preserve">octobre 2024 (DAO)</t>
  </si>
  <si>
    <t xml:space="preserve">ARMP : DAO 028 SNI (gardiennage)</t>
  </si>
  <si>
    <t xml:space="preserve">https://pridesoft.armp.cm/_lib/file/doc/0903/2024/10/16/SNI/DAO 028 SNI.pdf</t>
  </si>
  <si>
    <t xml:space="preserve">Montant global multi-sites, dont 8 vigiles de jour au siège. Le prix par agent ne peut pas être calculé sans l'effectif total. Autres DAO : API 30 000 000 FCFA TTC (2023) ; Conseil régional du Nord 20 000 000 FCFA TTC (2023). Extrait de résultat de recherche.</t>
  </si>
  <si>
    <t xml:space="preserve">smig_cameroun_prive</t>
  </si>
  <si>
    <t xml:space="preserve">SMIG Cameroun, secteur privé non agricole (plancher salarial vigiles et agents logistiques)</t>
  </si>
  <si>
    <t xml:space="preserve">2025-2026 (sources contradictoires)</t>
  </si>
  <si>
    <t xml:space="preserve">Africarrieres : droit du travail, salaire minimum au Cameroun</t>
  </si>
  <si>
    <t xml:space="preserve">https://africarrieres.com/cameroun/fr/guide/droit-du-travail/salaire-minimum</t>
  </si>
  <si>
    <t xml:space="preserve">Africarrieres (fév. 2026) : 41 875 FCFA/mois pour 40 h par semaine ; une autre version du même site cite 36 270 FCFA (2014). L'Essentiel de l'Éco avance 60 000 FCFA (https://lessentieldeleco.fr/4688-smic-a-combien-seleve-le-salaire-minimum-au-cameroun/). Le texte officiel est à vérifier. Quelle page Africarrieres porte quel chiffre reste incertain. Extrait de résultat de recherche.</t>
  </si>
  <si>
    <t xml:space="preserve">web</t>
  </si>
  <si>
    <t xml:space="preserve">hilux_2020_cameroun</t>
  </si>
  <si>
    <t xml:space="preserve">Toyota Hilux 2020 au Cameroun : fourchette de prix observés</t>
  </si>
  <si>
    <t xml:space="preserve">Afrotools — 2020 Toyota Hilux, Cameroon planning snapshot</t>
  </si>
  <si>
    <t xml:space="preserve">Extrait de résultat de recherche : « Source price band (XAF) XAF 12,789,300 – XAF 20,574,100 ». Estimation de données, pas un devis concessionnaire (CFAO). Véhicule déjà dédouané au Cameroun.</t>
  </si>
  <si>
    <t xml:space="preserve">salaire_commerce_distribution</t>
  </si>
  <si>
    <t xml:space="preserve">Salaire mensuel, secteur commerce et distribution (proxy commercial terrain)</t>
  </si>
  <si>
    <t xml:space="preserve">Salaire moyen au Cameroun 2026 : par secteur, métier et expérience (infospratiques.cm)</t>
  </si>
  <si>
    <t xml:space="preserve">Extrait de résultat de recherche : « Commerce et distribution : 80 000 – 300 000 FCFA/mois ». Aucun chiffre propre au poste de commercial terrain ; fourchette sectorielle utilisée comme proxy.</t>
  </si>
  <si>
    <t xml:space="preserve">fret_lehavre_kribi_40</t>
  </si>
  <si>
    <t xml:space="preserve">Fret CMA CGM Le Havre → Kribi, conteneur 40'</t>
  </si>
  <si>
    <t xml:space="preserve">EUR par conteneur 40'</t>
  </si>
  <si>
    <t xml:space="preserve">2022-03 (à actualiser par devis)</t>
  </si>
  <si>
    <t xml:space="preserve">AJOT — CMA CGM FAK rates from North Europe to West Africa</t>
  </si>
  <si>
    <t xml:space="preserve">Taux FAK annoncé : Le Havre → Kribi 40' = 2 875 € (mars 2022), port camerounais voisin de Douala. Le chiffre CNCC de 1,067 M FCFA (2025) ne précise ni l'origine exacte ni le format : écarté au profit de ce taux 40' plus prudent, majoré de la surcharge haute saison.</t>
  </si>
  <si>
    <t xml:space="preserve">pss_cmacgm_evp</t>
  </si>
  <si>
    <t xml:space="preserve">Surcharge haute saison CMA CGM vers Douala, par EVP</t>
  </si>
  <si>
    <t xml:space="preserve">EUR par EVP</t>
  </si>
  <si>
    <t xml:space="preserve">Depuis le 1/10/2025</t>
  </si>
  <si>
    <t xml:space="preserve">Container News — CMA CGM announces PSS on Douala</t>
  </si>
  <si>
    <t xml:space="preserve">100 USD / 85 € / 75 £ par EVP dry. Un conteneur 40' = 2 EVP.</t>
  </si>
  <si>
    <t xml:space="preserve">video_courte_produit</t>
  </si>
  <si>
    <t xml:space="preserve">Vidéo courte de produit (Douala / Yaoundé)</t>
  </si>
  <si>
    <t xml:space="preserve">FCFA par vidéo</t>
  </si>
  <si>
    <t xml:space="preserve">Kolonell — catalogue produits boutique en ligne (Cameroun)</t>
  </si>
  <si>
    <t xml:space="preserve">Extrait de résultat de recherche : « vidéo courte de produit à 15 000-25 000 FCFA ». Bas de fourchette retenu comme repère de marché.</t>
  </si>
</sst>
</file>

<file path=xl/styles.xml><?xml version="1.0" encoding="utf-8"?>
<styleSheet xmlns="http://schemas.openxmlformats.org/spreadsheetml/2006/main">
  <numFmts count="7">
    <numFmt numFmtId="164" formatCode="General"/>
    <numFmt numFmtId="165" formatCode="#,##0;\(#,##0\);\-"/>
    <numFmt numFmtId="166" formatCode="#,##0&quot; €&quot;;\(#,##0&quot; €)&quot;;\-"/>
    <numFmt numFmtId="167" formatCode="#,##0.00;\(#,##0.00\);\-"/>
    <numFmt numFmtId="168" formatCode="0.0%;\(0.0%\);\-"/>
    <numFmt numFmtId="169" formatCode="0.00%;\(0.00%\);\-"/>
    <numFmt numFmtId="170" formatCode="#,##0.###"/>
  </numFmts>
  <fonts count="14">
    <font>
      <sz val="11"/>
      <color theme="1"/>
      <name val="Calibri"/>
      <family val="2"/>
      <charset val="1"/>
    </font>
    <font>
      <sz val="10"/>
      <name val="Arial"/>
      <family val="0"/>
    </font>
    <font>
      <sz val="10"/>
      <name val="Arial"/>
      <family val="0"/>
    </font>
    <font>
      <sz val="10"/>
      <name val="Arial"/>
      <family val="0"/>
    </font>
    <font>
      <b val="true"/>
      <sz val="14"/>
      <color rgb="FF001E23"/>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name val="Arial"/>
      <family val="0"/>
      <charset val="1"/>
    </font>
    <font>
      <i val="true"/>
      <sz val="9"/>
      <name val="Arial"/>
      <family val="0"/>
      <charset val="1"/>
    </font>
    <font>
      <sz val="10"/>
      <color rgb="FF0000FF"/>
      <name val="Arial"/>
      <family val="0"/>
      <charset val="1"/>
    </font>
    <font>
      <sz val="9"/>
      <color rgb="FF0563C1"/>
      <name val="Arial"/>
      <family val="0"/>
      <charset val="1"/>
    </font>
    <font>
      <sz val="10"/>
      <name val="Arial"/>
      <family val="2"/>
    </font>
    <font>
      <sz val="9"/>
      <name val="Arial"/>
      <family val="0"/>
      <charset val="1"/>
    </font>
  </fonts>
  <fills count="5">
    <fill>
      <patternFill patternType="none"/>
    </fill>
    <fill>
      <patternFill patternType="gray125"/>
    </fill>
    <fill>
      <patternFill patternType="solid">
        <fgColor rgb="FF001E23"/>
        <bgColor rgb="FF000000"/>
      </patternFill>
    </fill>
    <fill>
      <patternFill patternType="solid">
        <fgColor rgb="FFFFFF00"/>
        <bgColor rgb="FFFFFF00"/>
      </patternFill>
    </fill>
    <fill>
      <patternFill patternType="solid">
        <fgColor rgb="FFF2E6C4"/>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E6C4"/>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1E2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22"/>
    <col collapsed="false" customWidth="true" hidden="false" outlineLevel="0" max="3" min="3" style="0" width="18"/>
  </cols>
  <sheetData>
    <row r="1" customFormat="false" ht="17.35" hidden="false" customHeight="false" outlineLevel="0" collapsed="false">
      <c r="A1" s="1" t="s">
        <v>0</v>
      </c>
    </row>
    <row r="3" customFormat="false" ht="15" hidden="false" customHeight="false" outlineLevel="0" collapsed="false">
      <c r="A3" s="2" t="s">
        <v>1</v>
      </c>
      <c r="B3" s="2" t="s">
        <v>2</v>
      </c>
      <c r="C3" s="2" t="s">
        <v>3</v>
      </c>
    </row>
    <row r="4" customFormat="false" ht="15" hidden="false" customHeight="false" outlineLevel="0" collapsed="false">
      <c r="A4" s="3" t="s">
        <v>4</v>
      </c>
      <c r="B4" s="4" t="n">
        <f aca="false">'Maison mère Yaoundé'!$E$24</f>
        <v>407767093.815514</v>
      </c>
      <c r="C4" s="5" t="n">
        <f aca="false">B4/Hypothèses!$C$6</f>
        <v>621636.9271393</v>
      </c>
    </row>
    <row r="5" customFormat="false" ht="15" hidden="false" customHeight="false" outlineLevel="0" collapsed="false">
      <c r="A5" s="3" t="s">
        <v>5</v>
      </c>
      <c r="B5" s="4" t="n">
        <f aca="false">'Équipements importés'!$M$24</f>
        <v>80813183.8414271</v>
      </c>
      <c r="C5" s="5" t="n">
        <f aca="false">B5/Hypothèses!$C$6</f>
        <v>123198.904564517</v>
      </c>
    </row>
    <row r="6" customFormat="false" ht="15" hidden="false" customHeight="false" outlineLevel="0" collapsed="false">
      <c r="A6" s="3" t="s">
        <v>6</v>
      </c>
      <c r="B6" s="4" t="n">
        <f aca="false">Flotte!$D$7</f>
        <v>33537700</v>
      </c>
      <c r="C6" s="5" t="n">
        <f aca="false">B6/Hypothèses!$C$6</f>
        <v>51127.894054031</v>
      </c>
    </row>
    <row r="7" customFormat="false" ht="15" hidden="false" customHeight="false" outlineLevel="0" collapsed="false">
      <c r="A7" s="6" t="s">
        <v>7</v>
      </c>
      <c r="B7" s="4" t="n">
        <f aca="false">B4+B5+B6</f>
        <v>522117977.656941</v>
      </c>
      <c r="C7" s="5" t="n">
        <f aca="false">B7/Hypothèses!$C$6</f>
        <v>795963.725757848</v>
      </c>
    </row>
    <row r="8" customFormat="false" ht="15" hidden="false" customHeight="false" outlineLevel="0" collapsed="false">
      <c r="A8" s="3" t="s">
        <v>8</v>
      </c>
      <c r="B8" s="4" t="n">
        <f aca="false">Fonctionnement!$B$12</f>
        <v>11105852.26097</v>
      </c>
      <c r="C8" s="5" t="n">
        <f aca="false">B8/Hypothèses!$C$6</f>
        <v>16930.7626276875</v>
      </c>
    </row>
    <row r="9" customFormat="false" ht="15" hidden="false" customHeight="false" outlineLevel="0" collapsed="false">
      <c r="A9" s="3" t="s">
        <v>9</v>
      </c>
      <c r="B9" s="4" t="n">
        <f aca="false">Fonctionnement!$B$24</f>
        <v>3333033.41791228</v>
      </c>
      <c r="C9" s="5" t="n">
        <f aca="false">B9/Hypothèses!$C$6</f>
        <v>5081.17668980174</v>
      </c>
    </row>
    <row r="10" customFormat="false" ht="15" hidden="false" customHeight="false" outlineLevel="0" collapsed="false">
      <c r="A10" s="3" t="s">
        <v>10</v>
      </c>
      <c r="B10" s="4" t="n">
        <f aca="false">Fonctionnement!$B$31</f>
        <v>10038610.0288863</v>
      </c>
      <c r="C10" s="5" t="n">
        <f aca="false">B10/Hypothèses!$C$6</f>
        <v>15303.7623333333</v>
      </c>
    </row>
    <row r="11" customFormat="false" ht="15" hidden="false" customHeight="false" outlineLevel="0" collapsed="false">
      <c r="A11" s="3" t="s">
        <v>11</v>
      </c>
      <c r="B11" s="4" t="n">
        <f aca="false">Prix!$B$11</f>
        <v>1512.01384321781</v>
      </c>
      <c r="C11" s="5" t="n">
        <f aca="false">B11/Hypothèses!$C$6</f>
        <v>2.30505024447915</v>
      </c>
    </row>
    <row r="12" customFormat="false" ht="15" hidden="false" customHeight="false" outlineLevel="0" collapsed="false">
      <c r="A12" s="3" t="s">
        <v>12</v>
      </c>
      <c r="B12" s="4" t="n">
        <f aca="false">Prix!$B$13</f>
        <v>2163.69180964468</v>
      </c>
      <c r="C12" s="5" t="n">
        <f aca="false">B12/Hypothèses!$C$6</f>
        <v>3.29852689984966</v>
      </c>
    </row>
    <row r="13" customFormat="false" ht="15" hidden="false" customHeight="false" outlineLevel="0" collapsed="false">
      <c r="A13" s="3" t="s">
        <v>13</v>
      </c>
      <c r="B13" s="4" t="n">
        <f aca="false">Prix!$B$24</f>
        <v>17135.4779723947</v>
      </c>
      <c r="C13" s="5" t="n">
        <f aca="false">B13/Hypothèses!$C$6</f>
        <v>26.1228677678486</v>
      </c>
    </row>
    <row r="14" customFormat="false" ht="15" hidden="false" customHeight="false" outlineLevel="0" collapsed="false">
      <c r="A14" s="3" t="s">
        <v>14</v>
      </c>
      <c r="B14" s="4" t="n">
        <f aca="false">Prix!$B$55</f>
        <v>3449.36292377351</v>
      </c>
    </row>
    <row r="15" customFormat="false" ht="15" hidden="false" customHeight="false" outlineLevel="0" collapsed="false">
      <c r="A15" s="3" t="s">
        <v>15</v>
      </c>
      <c r="B15" s="4" t="n">
        <f aca="false">Prix!$B$56</f>
        <v>8746.08275802982</v>
      </c>
    </row>
    <row r="18" customFormat="false" ht="15" hidden="false" customHeight="true" outlineLevel="0" collapsed="false">
      <c r="A18" s="7" t="s">
        <v>16</v>
      </c>
      <c r="B18" s="7"/>
      <c r="C18" s="7"/>
    </row>
    <row r="19" customFormat="false" ht="15" hidden="false" customHeight="false" outlineLevel="0" collapsed="false">
      <c r="A19" s="7"/>
      <c r="B19" s="7"/>
      <c r="C19" s="7"/>
    </row>
    <row r="20" customFormat="false" ht="15" hidden="false" customHeight="false" outlineLevel="0" collapsed="false">
      <c r="A20" s="7"/>
      <c r="B20" s="7"/>
      <c r="C20" s="7"/>
    </row>
    <row r="21" customFormat="false" ht="15" hidden="false" customHeight="false" outlineLevel="0" collapsed="false">
      <c r="A21" s="7"/>
      <c r="B21" s="7"/>
      <c r="C21" s="7"/>
    </row>
    <row r="22" customFormat="false" ht="15" hidden="false" customHeight="false" outlineLevel="0" collapsed="false">
      <c r="A22" s="7"/>
      <c r="B22" s="7"/>
      <c r="C22" s="7"/>
    </row>
  </sheetData>
  <mergeCells count="1">
    <mergeCell ref="A18: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6"/>
    <col collapsed="false" customWidth="true" hidden="false" outlineLevel="0" max="4" min="3" style="0" width="16"/>
    <col collapsed="false" customWidth="true" hidden="false" outlineLevel="0" max="6" min="5" style="0" width="14"/>
    <col collapsed="false" customWidth="true" hidden="false" outlineLevel="0" max="7" min="7" style="0" width="11"/>
    <col collapsed="false" customWidth="true" hidden="false" outlineLevel="0" max="8" min="8" style="0" width="10"/>
    <col collapsed="false" customWidth="true" hidden="false" outlineLevel="0" max="9" min="9" style="0" width="52"/>
    <col collapsed="false" customWidth="true" hidden="false" outlineLevel="0" max="10" min="10" style="0" width="60"/>
  </cols>
  <sheetData>
    <row r="1" customFormat="false" ht="17.35" hidden="false" customHeight="false" outlineLevel="0" collapsed="false">
      <c r="A1" s="1" t="s">
        <v>17</v>
      </c>
    </row>
    <row r="2" customFormat="false" ht="15" hidden="false" customHeight="false" outlineLevel="0" collapsed="false">
      <c r="A2" s="8" t="s">
        <v>18</v>
      </c>
    </row>
    <row r="4" customFormat="false" ht="15" hidden="false" customHeight="false" outlineLevel="0" collapsed="false">
      <c r="A4" s="2" t="s">
        <v>19</v>
      </c>
      <c r="B4" s="2" t="s">
        <v>20</v>
      </c>
      <c r="C4" s="2" t="s">
        <v>21</v>
      </c>
      <c r="D4" s="2" t="s">
        <v>22</v>
      </c>
      <c r="E4" s="2" t="s">
        <v>23</v>
      </c>
      <c r="F4" s="2" t="s">
        <v>24</v>
      </c>
      <c r="G4" s="2" t="s">
        <v>25</v>
      </c>
      <c r="H4" s="2" t="s">
        <v>26</v>
      </c>
      <c r="I4" s="2" t="s">
        <v>27</v>
      </c>
      <c r="J4" s="2" t="s">
        <v>28</v>
      </c>
    </row>
    <row r="5" customFormat="false" ht="15" hidden="false" customHeight="false" outlineLevel="0" collapsed="false">
      <c r="A5" s="6" t="s">
        <v>29</v>
      </c>
    </row>
    <row r="6" customFormat="false" ht="15" hidden="false" customHeight="false" outlineLevel="0" collapsed="false">
      <c r="A6" s="3" t="s">
        <v>30</v>
      </c>
      <c r="B6" s="3" t="s">
        <v>31</v>
      </c>
      <c r="C6" s="9" t="n">
        <v>655.957</v>
      </c>
      <c r="D6" s="3" t="s">
        <v>32</v>
      </c>
      <c r="E6" s="10" t="n">
        <v>655.957</v>
      </c>
      <c r="F6" s="10" t="n">
        <v>655.957</v>
      </c>
      <c r="G6" s="3" t="s">
        <v>27</v>
      </c>
      <c r="H6" s="3"/>
      <c r="I6" s="3" t="s">
        <v>33</v>
      </c>
      <c r="J6" s="11" t="s">
        <v>34</v>
      </c>
    </row>
    <row r="7" customFormat="false" ht="15" hidden="false" customHeight="false" outlineLevel="0" collapsed="false">
      <c r="A7" s="3" t="s">
        <v>35</v>
      </c>
      <c r="B7" s="3" t="s">
        <v>36</v>
      </c>
      <c r="C7" s="12" t="n">
        <v>0.2</v>
      </c>
      <c r="D7" s="3" t="s">
        <v>37</v>
      </c>
      <c r="E7" s="13" t="n">
        <v>0.2</v>
      </c>
      <c r="F7" s="13" t="n">
        <v>0.2</v>
      </c>
      <c r="G7" s="3" t="s">
        <v>27</v>
      </c>
      <c r="H7" s="3"/>
      <c r="I7" s="3" t="s">
        <v>38</v>
      </c>
      <c r="J7" s="11" t="s">
        <v>39</v>
      </c>
    </row>
    <row r="8" customFormat="false" ht="15" hidden="false" customHeight="false" outlineLevel="0" collapsed="false">
      <c r="A8" s="6" t="s">
        <v>40</v>
      </c>
    </row>
    <row r="9" customFormat="false" ht="15" hidden="false" customHeight="false" outlineLevel="0" collapsed="false">
      <c r="A9" s="3" t="s">
        <v>41</v>
      </c>
      <c r="B9" s="3" t="s">
        <v>42</v>
      </c>
      <c r="C9" s="14" t="n">
        <v>0.275</v>
      </c>
      <c r="D9" s="3" t="s">
        <v>37</v>
      </c>
      <c r="E9" s="15" t="n">
        <v>0.275</v>
      </c>
      <c r="F9" s="15" t="n">
        <v>0.275</v>
      </c>
      <c r="G9" s="3" t="s">
        <v>27</v>
      </c>
      <c r="H9" s="3" t="s">
        <v>43</v>
      </c>
      <c r="I9" s="3" t="s">
        <v>44</v>
      </c>
      <c r="J9" s="11" t="s">
        <v>45</v>
      </c>
    </row>
    <row r="10" customFormat="false" ht="15" hidden="false" customHeight="false" outlineLevel="0" collapsed="false">
      <c r="A10" s="3" t="s">
        <v>46</v>
      </c>
      <c r="B10" s="3" t="s">
        <v>47</v>
      </c>
      <c r="C10" s="14" t="n">
        <v>0.022</v>
      </c>
      <c r="D10" s="3" t="s">
        <v>37</v>
      </c>
      <c r="E10" s="15" t="n">
        <v>0.022</v>
      </c>
      <c r="F10" s="15" t="n">
        <v>0.022</v>
      </c>
      <c r="G10" s="3" t="s">
        <v>27</v>
      </c>
      <c r="H10" s="3" t="s">
        <v>43</v>
      </c>
      <c r="I10" s="3" t="s">
        <v>48</v>
      </c>
      <c r="J10" s="11" t="s">
        <v>45</v>
      </c>
    </row>
    <row r="11" customFormat="false" ht="15" hidden="false" customHeight="false" outlineLevel="0" collapsed="false">
      <c r="A11" s="3" t="s">
        <v>49</v>
      </c>
      <c r="B11" s="3" t="s">
        <v>50</v>
      </c>
      <c r="C11" s="14" t="n">
        <v>0.00283</v>
      </c>
      <c r="D11" s="3" t="s">
        <v>37</v>
      </c>
      <c r="E11" s="15" t="n">
        <v>0.00283</v>
      </c>
      <c r="F11" s="15" t="n">
        <v>0.00283</v>
      </c>
      <c r="G11" s="3" t="s">
        <v>27</v>
      </c>
      <c r="H11" s="3" t="s">
        <v>43</v>
      </c>
      <c r="I11" s="3" t="s">
        <v>51</v>
      </c>
      <c r="J11" s="11" t="s">
        <v>52</v>
      </c>
    </row>
    <row r="12" customFormat="false" ht="15" hidden="false" customHeight="false" outlineLevel="0" collapsed="false">
      <c r="A12" s="3" t="s">
        <v>53</v>
      </c>
      <c r="B12" s="3" t="s">
        <v>54</v>
      </c>
      <c r="C12" s="14" t="n">
        <v>0.1925</v>
      </c>
      <c r="D12" s="3" t="s">
        <v>37</v>
      </c>
      <c r="E12" s="15" t="n">
        <v>0.1925</v>
      </c>
      <c r="F12" s="15" t="n">
        <v>0.1925</v>
      </c>
      <c r="G12" s="3" t="s">
        <v>27</v>
      </c>
      <c r="H12" s="3" t="s">
        <v>43</v>
      </c>
      <c r="I12" s="3" t="s">
        <v>55</v>
      </c>
      <c r="J12" s="11" t="s">
        <v>56</v>
      </c>
    </row>
    <row r="13" customFormat="false" ht="15" hidden="false" customHeight="false" outlineLevel="0" collapsed="false">
      <c r="A13" s="3" t="s">
        <v>57</v>
      </c>
      <c r="B13" s="3" t="s">
        <v>58</v>
      </c>
      <c r="C13" s="14" t="n">
        <v>0.15</v>
      </c>
      <c r="D13" s="3" t="s">
        <v>37</v>
      </c>
      <c r="E13" s="15" t="n">
        <v>0.15</v>
      </c>
      <c r="F13" s="15" t="n">
        <v>0.15</v>
      </c>
      <c r="G13" s="3" t="s">
        <v>27</v>
      </c>
      <c r="H13" s="3" t="s">
        <v>43</v>
      </c>
      <c r="I13" s="3" t="s">
        <v>59</v>
      </c>
      <c r="J13" s="11" t="s">
        <v>60</v>
      </c>
    </row>
    <row r="14" customFormat="false" ht="15" hidden="false" customHeight="false" outlineLevel="0" collapsed="false">
      <c r="A14" s="3" t="s">
        <v>61</v>
      </c>
      <c r="B14" s="3" t="s">
        <v>62</v>
      </c>
      <c r="C14" s="14" t="n">
        <v>0.1</v>
      </c>
      <c r="D14" s="3" t="s">
        <v>37</v>
      </c>
      <c r="E14" s="15" t="n">
        <v>0.1</v>
      </c>
      <c r="F14" s="15" t="n">
        <v>0.1</v>
      </c>
      <c r="G14" s="3" t="s">
        <v>27</v>
      </c>
      <c r="H14" s="3" t="s">
        <v>43</v>
      </c>
      <c r="I14" s="3" t="s">
        <v>63</v>
      </c>
      <c r="J14" s="11" t="s">
        <v>64</v>
      </c>
    </row>
    <row r="15" customFormat="false" ht="15" hidden="false" customHeight="false" outlineLevel="0" collapsed="false">
      <c r="A15" s="3" t="s">
        <v>65</v>
      </c>
      <c r="B15" s="3" t="s">
        <v>66</v>
      </c>
      <c r="C15" s="14" t="n">
        <v>0.075</v>
      </c>
      <c r="D15" s="3" t="s">
        <v>37</v>
      </c>
      <c r="E15" s="15" t="n">
        <v>0.075</v>
      </c>
      <c r="F15" s="15" t="n">
        <v>0.075</v>
      </c>
      <c r="G15" s="3" t="s">
        <v>27</v>
      </c>
      <c r="H15" s="3" t="s">
        <v>43</v>
      </c>
      <c r="I15" s="3" t="s">
        <v>67</v>
      </c>
      <c r="J15" s="11" t="s">
        <v>68</v>
      </c>
    </row>
    <row r="16" customFormat="false" ht="15" hidden="false" customHeight="false" outlineLevel="0" collapsed="false">
      <c r="A16" s="3" t="s">
        <v>69</v>
      </c>
      <c r="B16" s="3" t="s">
        <v>70</v>
      </c>
      <c r="C16" s="14" t="n">
        <v>0.15</v>
      </c>
      <c r="D16" s="3" t="s">
        <v>37</v>
      </c>
      <c r="E16" s="15" t="n">
        <v>0.15</v>
      </c>
      <c r="F16" s="15" t="n">
        <v>0.15</v>
      </c>
      <c r="G16" s="3" t="s">
        <v>27</v>
      </c>
      <c r="H16" s="3" t="s">
        <v>43</v>
      </c>
      <c r="I16" s="3" t="s">
        <v>71</v>
      </c>
      <c r="J16" s="11" t="s">
        <v>72</v>
      </c>
    </row>
    <row r="17" customFormat="false" ht="15" hidden="false" customHeight="false" outlineLevel="0" collapsed="false">
      <c r="A17" s="3" t="s">
        <v>73</v>
      </c>
      <c r="B17" s="3" t="s">
        <v>74</v>
      </c>
      <c r="C17" s="14" t="n">
        <v>0.025</v>
      </c>
      <c r="D17" s="3" t="s">
        <v>37</v>
      </c>
      <c r="E17" s="15" t="n">
        <v>0.025</v>
      </c>
      <c r="F17" s="15" t="n">
        <v>0.025</v>
      </c>
      <c r="G17" s="3" t="s">
        <v>27</v>
      </c>
      <c r="H17" s="3" t="s">
        <v>43</v>
      </c>
      <c r="I17" s="3" t="s">
        <v>75</v>
      </c>
      <c r="J17" s="11" t="s">
        <v>76</v>
      </c>
    </row>
    <row r="18" customFormat="false" ht="15" hidden="false" customHeight="false" outlineLevel="0" collapsed="false">
      <c r="A18" s="3" t="s">
        <v>77</v>
      </c>
      <c r="B18" s="3" t="s">
        <v>78</v>
      </c>
      <c r="C18" s="14" t="n">
        <v>0.1</v>
      </c>
      <c r="D18" s="3" t="s">
        <v>37</v>
      </c>
      <c r="E18" s="15" t="n">
        <v>0.1</v>
      </c>
      <c r="F18" s="15" t="n">
        <v>0.1</v>
      </c>
      <c r="G18" s="3" t="s">
        <v>27</v>
      </c>
      <c r="H18" s="3" t="s">
        <v>43</v>
      </c>
      <c r="I18" s="3" t="s">
        <v>79</v>
      </c>
      <c r="J18" s="11" t="s">
        <v>80</v>
      </c>
    </row>
    <row r="19" customFormat="false" ht="15" hidden="false" customHeight="false" outlineLevel="0" collapsed="false">
      <c r="A19" s="3" t="s">
        <v>81</v>
      </c>
      <c r="B19" s="3" t="s">
        <v>82</v>
      </c>
      <c r="C19" s="14" t="n">
        <v>0.2</v>
      </c>
      <c r="D19" s="3" t="s">
        <v>37</v>
      </c>
      <c r="E19" s="15" t="n">
        <v>0.2</v>
      </c>
      <c r="F19" s="15" t="n">
        <v>0.2</v>
      </c>
      <c r="G19" s="3" t="s">
        <v>27</v>
      </c>
      <c r="H19" s="3" t="s">
        <v>43</v>
      </c>
      <c r="I19" s="3" t="s">
        <v>83</v>
      </c>
      <c r="J19" s="11" t="s">
        <v>84</v>
      </c>
    </row>
    <row r="20" customFormat="false" ht="15" hidden="false" customHeight="false" outlineLevel="0" collapsed="false">
      <c r="A20" s="3" t="s">
        <v>85</v>
      </c>
      <c r="B20" s="3" t="s">
        <v>86</v>
      </c>
      <c r="C20" s="14" t="n">
        <v>0.01</v>
      </c>
      <c r="D20" s="3" t="s">
        <v>37</v>
      </c>
      <c r="E20" s="15" t="n">
        <v>0.01</v>
      </c>
      <c r="F20" s="15" t="n">
        <v>0.01</v>
      </c>
      <c r="G20" s="3" t="s">
        <v>27</v>
      </c>
      <c r="H20" s="3" t="s">
        <v>43</v>
      </c>
      <c r="I20" s="3" t="s">
        <v>87</v>
      </c>
      <c r="J20" s="11" t="s">
        <v>88</v>
      </c>
    </row>
    <row r="21" customFormat="false" ht="15" hidden="false" customHeight="false" outlineLevel="0" collapsed="false">
      <c r="A21" s="3" t="s">
        <v>89</v>
      </c>
      <c r="B21" s="3" t="s">
        <v>90</v>
      </c>
      <c r="C21" s="14" t="n">
        <v>0.004</v>
      </c>
      <c r="D21" s="3" t="s">
        <v>37</v>
      </c>
      <c r="E21" s="15" t="n">
        <v>0.004</v>
      </c>
      <c r="F21" s="15" t="n">
        <v>0.004</v>
      </c>
      <c r="G21" s="3" t="s">
        <v>27</v>
      </c>
      <c r="H21" s="3" t="s">
        <v>43</v>
      </c>
      <c r="I21" s="3" t="s">
        <v>91</v>
      </c>
      <c r="J21" s="11" t="s">
        <v>92</v>
      </c>
    </row>
    <row r="22" customFormat="false" ht="15" hidden="false" customHeight="false" outlineLevel="0" collapsed="false">
      <c r="A22" s="3" t="s">
        <v>93</v>
      </c>
      <c r="B22" s="3" t="s">
        <v>94</v>
      </c>
      <c r="C22" s="14" t="n">
        <v>0.01</v>
      </c>
      <c r="D22" s="3" t="s">
        <v>37</v>
      </c>
      <c r="E22" s="15" t="n">
        <v>0.01</v>
      </c>
      <c r="F22" s="15" t="n">
        <v>0.01</v>
      </c>
      <c r="G22" s="3" t="s">
        <v>27</v>
      </c>
      <c r="H22" s="3" t="s">
        <v>43</v>
      </c>
      <c r="I22" s="3" t="s">
        <v>95</v>
      </c>
      <c r="J22" s="11" t="s">
        <v>96</v>
      </c>
    </row>
    <row r="23" customFormat="false" ht="15" hidden="false" customHeight="false" outlineLevel="0" collapsed="false">
      <c r="A23" s="3" t="s">
        <v>97</v>
      </c>
      <c r="B23" s="3" t="s">
        <v>98</v>
      </c>
      <c r="C23" s="14" t="n">
        <v>0.0005</v>
      </c>
      <c r="D23" s="3" t="s">
        <v>37</v>
      </c>
      <c r="E23" s="15" t="n">
        <v>0.0005</v>
      </c>
      <c r="F23" s="15" t="n">
        <v>0.0005</v>
      </c>
      <c r="G23" s="3" t="s">
        <v>27</v>
      </c>
      <c r="H23" s="3" t="s">
        <v>43</v>
      </c>
      <c r="I23" s="3" t="s">
        <v>99</v>
      </c>
      <c r="J23" s="11" t="s">
        <v>100</v>
      </c>
    </row>
    <row r="24" customFormat="false" ht="15" hidden="false" customHeight="false" outlineLevel="0" collapsed="false">
      <c r="A24" s="3" t="s">
        <v>101</v>
      </c>
      <c r="B24" s="3" t="s">
        <v>102</v>
      </c>
      <c r="C24" s="14" t="n">
        <v>0.05</v>
      </c>
      <c r="D24" s="3" t="s">
        <v>37</v>
      </c>
      <c r="E24" s="15" t="n">
        <v>0.05</v>
      </c>
      <c r="F24" s="15" t="n">
        <v>0.05</v>
      </c>
      <c r="G24" s="3" t="s">
        <v>27</v>
      </c>
      <c r="H24" s="3" t="s">
        <v>43</v>
      </c>
      <c r="I24" s="3" t="s">
        <v>103</v>
      </c>
      <c r="J24" s="11" t="s">
        <v>104</v>
      </c>
    </row>
    <row r="25" customFormat="false" ht="15" hidden="false" customHeight="false" outlineLevel="0" collapsed="false">
      <c r="A25" s="3" t="s">
        <v>105</v>
      </c>
      <c r="B25" s="3" t="s">
        <v>106</v>
      </c>
      <c r="C25" s="14" t="n">
        <v>0.02</v>
      </c>
      <c r="D25" s="3" t="s">
        <v>37</v>
      </c>
      <c r="E25" s="15" t="n">
        <v>0.02</v>
      </c>
      <c r="F25" s="15" t="n">
        <v>0.02</v>
      </c>
      <c r="G25" s="3" t="s">
        <v>27</v>
      </c>
      <c r="H25" s="3" t="s">
        <v>43</v>
      </c>
      <c r="I25" s="3" t="s">
        <v>107</v>
      </c>
      <c r="J25" s="11" t="s">
        <v>108</v>
      </c>
    </row>
    <row r="26" customFormat="false" ht="15" hidden="false" customHeight="false" outlineLevel="0" collapsed="false">
      <c r="A26" s="3" t="s">
        <v>109</v>
      </c>
      <c r="B26" s="3" t="s">
        <v>110</v>
      </c>
      <c r="C26" s="14" t="n">
        <v>0.01</v>
      </c>
      <c r="D26" s="3" t="s">
        <v>37</v>
      </c>
      <c r="E26" s="15" t="n">
        <v>0.01</v>
      </c>
      <c r="F26" s="15" t="n">
        <v>0.01</v>
      </c>
      <c r="G26" s="3" t="s">
        <v>27</v>
      </c>
      <c r="H26" s="3" t="s">
        <v>43</v>
      </c>
      <c r="I26" s="3" t="s">
        <v>111</v>
      </c>
      <c r="J26" s="11" t="s">
        <v>112</v>
      </c>
    </row>
    <row r="27" customFormat="false" ht="15" hidden="false" customHeight="false" outlineLevel="0" collapsed="false">
      <c r="A27" s="3" t="s">
        <v>113</v>
      </c>
      <c r="B27" s="3" t="s">
        <v>114</v>
      </c>
      <c r="C27" s="14" t="n">
        <v>0.001</v>
      </c>
      <c r="D27" s="3" t="s">
        <v>37</v>
      </c>
      <c r="E27" s="15" t="n">
        <v>0.001</v>
      </c>
      <c r="F27" s="15" t="n">
        <v>0.001</v>
      </c>
      <c r="G27" s="3" t="s">
        <v>27</v>
      </c>
      <c r="H27" s="3" t="s">
        <v>43</v>
      </c>
      <c r="I27" s="3" t="s">
        <v>115</v>
      </c>
      <c r="J27" s="11" t="s">
        <v>116</v>
      </c>
    </row>
    <row r="28" customFormat="false" ht="15" hidden="false" customHeight="false" outlineLevel="0" collapsed="false">
      <c r="A28" s="6" t="s">
        <v>117</v>
      </c>
    </row>
    <row r="29" customFormat="false" ht="15" hidden="false" customHeight="false" outlineLevel="0" collapsed="false">
      <c r="A29" s="3" t="s">
        <v>118</v>
      </c>
      <c r="B29" s="3" t="s">
        <v>119</v>
      </c>
      <c r="C29" s="16" t="n">
        <v>3000000</v>
      </c>
      <c r="D29" s="3" t="s">
        <v>2</v>
      </c>
      <c r="G29" s="3" t="s">
        <v>120</v>
      </c>
      <c r="H29" s="3"/>
    </row>
    <row r="30" customFormat="false" ht="15" hidden="false" customHeight="false" outlineLevel="0" collapsed="false">
      <c r="A30" s="3" t="s">
        <v>121</v>
      </c>
      <c r="B30" s="3" t="s">
        <v>122</v>
      </c>
      <c r="C30" s="16" t="n">
        <v>10000000</v>
      </c>
      <c r="D30" s="3" t="s">
        <v>2</v>
      </c>
      <c r="G30" s="3" t="s">
        <v>120</v>
      </c>
      <c r="H30" s="3"/>
    </row>
    <row r="31" customFormat="false" ht="15" hidden="false" customHeight="false" outlineLevel="0" collapsed="false">
      <c r="A31" s="3" t="s">
        <v>123</v>
      </c>
      <c r="B31" s="3" t="s">
        <v>124</v>
      </c>
      <c r="C31" s="16" t="n">
        <v>25000000</v>
      </c>
      <c r="D31" s="3" t="s">
        <v>2</v>
      </c>
      <c r="G31" s="3" t="s">
        <v>120</v>
      </c>
      <c r="H31" s="3"/>
    </row>
    <row r="32" customFormat="false" ht="15" hidden="false" customHeight="false" outlineLevel="0" collapsed="false">
      <c r="A32" s="3" t="s">
        <v>125</v>
      </c>
      <c r="B32" s="3" t="s">
        <v>126</v>
      </c>
      <c r="C32" s="16" t="n">
        <v>50000000</v>
      </c>
      <c r="D32" s="3" t="s">
        <v>2</v>
      </c>
      <c r="G32" s="3" t="s">
        <v>120</v>
      </c>
      <c r="H32" s="3"/>
    </row>
    <row r="33" customFormat="false" ht="15" hidden="false" customHeight="false" outlineLevel="0" collapsed="false">
      <c r="A33" s="3" t="s">
        <v>127</v>
      </c>
      <c r="B33" s="3" t="s">
        <v>128</v>
      </c>
      <c r="C33" s="14" t="n">
        <v>0.04</v>
      </c>
      <c r="D33" s="3" t="s">
        <v>37</v>
      </c>
      <c r="E33" s="15" t="n">
        <v>0.005</v>
      </c>
      <c r="F33" s="15" t="n">
        <v>0.04</v>
      </c>
      <c r="G33" s="3" t="s">
        <v>27</v>
      </c>
      <c r="H33" s="3"/>
      <c r="I33" s="3" t="s">
        <v>129</v>
      </c>
      <c r="J33" s="11" t="s">
        <v>130</v>
      </c>
    </row>
    <row r="34" customFormat="false" ht="15" hidden="false" customHeight="false" outlineLevel="0" collapsed="false">
      <c r="A34" s="3" t="s">
        <v>131</v>
      </c>
      <c r="B34" s="3" t="s">
        <v>132</v>
      </c>
      <c r="C34" s="14" t="n">
        <v>0.03</v>
      </c>
      <c r="D34" s="3" t="s">
        <v>37</v>
      </c>
      <c r="G34" s="3" t="s">
        <v>120</v>
      </c>
      <c r="H34" s="3"/>
    </row>
    <row r="35" customFormat="false" ht="15" hidden="false" customHeight="false" outlineLevel="0" collapsed="false">
      <c r="A35" s="3" t="s">
        <v>133</v>
      </c>
      <c r="B35" s="3" t="s">
        <v>134</v>
      </c>
      <c r="C35" s="14" t="n">
        <v>0.015</v>
      </c>
      <c r="D35" s="3" t="s">
        <v>37</v>
      </c>
      <c r="G35" s="3" t="s">
        <v>120</v>
      </c>
      <c r="H35" s="3"/>
    </row>
    <row r="36" customFormat="false" ht="15" hidden="false" customHeight="false" outlineLevel="0" collapsed="false">
      <c r="A36" s="3" t="s">
        <v>135</v>
      </c>
      <c r="B36" s="3" t="s">
        <v>136</v>
      </c>
      <c r="C36" s="14" t="n">
        <v>0.0075</v>
      </c>
      <c r="D36" s="3" t="s">
        <v>37</v>
      </c>
      <c r="G36" s="3" t="s">
        <v>120</v>
      </c>
      <c r="H36" s="3"/>
    </row>
    <row r="37" customFormat="false" ht="15" hidden="false" customHeight="false" outlineLevel="0" collapsed="false">
      <c r="A37" s="3" t="s">
        <v>137</v>
      </c>
      <c r="B37" s="3" t="s">
        <v>138</v>
      </c>
      <c r="C37" s="14" t="n">
        <v>0.005</v>
      </c>
      <c r="D37" s="3" t="s">
        <v>37</v>
      </c>
      <c r="G37" s="3" t="s">
        <v>120</v>
      </c>
      <c r="H37" s="3"/>
    </row>
    <row r="38" customFormat="false" ht="15" hidden="false" customHeight="false" outlineLevel="0" collapsed="false">
      <c r="A38" s="6" t="s">
        <v>139</v>
      </c>
    </row>
    <row r="39" customFormat="false" ht="15" hidden="false" customHeight="false" outlineLevel="0" collapsed="false">
      <c r="A39" s="3" t="s">
        <v>140</v>
      </c>
      <c r="B39" s="3" t="s">
        <v>141</v>
      </c>
      <c r="C39" s="12" t="n">
        <v>0.25</v>
      </c>
      <c r="D39" s="3" t="s">
        <v>37</v>
      </c>
      <c r="E39" s="13" t="n">
        <v>0.25</v>
      </c>
      <c r="F39" s="13" t="n">
        <v>0.25</v>
      </c>
      <c r="G39" s="3" t="s">
        <v>27</v>
      </c>
      <c r="H39" s="3"/>
      <c r="I39" s="3" t="s">
        <v>142</v>
      </c>
      <c r="J39" s="11" t="s">
        <v>143</v>
      </c>
    </row>
    <row r="40" customFormat="false" ht="15" hidden="false" customHeight="false" outlineLevel="0" collapsed="false">
      <c r="A40" s="3" t="s">
        <v>144</v>
      </c>
      <c r="B40" s="3" t="s">
        <v>145</v>
      </c>
      <c r="C40" s="12" t="n">
        <v>0.05</v>
      </c>
      <c r="D40" s="3" t="s">
        <v>37</v>
      </c>
      <c r="E40" s="13" t="n">
        <v>0.05</v>
      </c>
      <c r="F40" s="13" t="n">
        <v>0.05</v>
      </c>
      <c r="G40" s="3" t="s">
        <v>27</v>
      </c>
      <c r="H40" s="3"/>
      <c r="I40" s="3" t="s">
        <v>146</v>
      </c>
      <c r="J40" s="11" t="s">
        <v>147</v>
      </c>
    </row>
    <row r="41" customFormat="false" ht="15" hidden="false" customHeight="false" outlineLevel="0" collapsed="false">
      <c r="A41" s="3" t="s">
        <v>148</v>
      </c>
      <c r="B41" s="3" t="s">
        <v>149</v>
      </c>
      <c r="C41" s="12" t="n">
        <v>0.45</v>
      </c>
      <c r="D41" s="3" t="s">
        <v>37</v>
      </c>
      <c r="E41" s="13" t="n">
        <v>0.42</v>
      </c>
      <c r="F41" s="13" t="n">
        <v>0.45</v>
      </c>
      <c r="G41" s="3" t="s">
        <v>27</v>
      </c>
      <c r="H41" s="3" t="s">
        <v>150</v>
      </c>
      <c r="I41" s="3" t="s">
        <v>151</v>
      </c>
      <c r="J41" s="11" t="s">
        <v>152</v>
      </c>
    </row>
    <row r="42" customFormat="false" ht="15" hidden="false" customHeight="false" outlineLevel="0" collapsed="false">
      <c r="A42" s="6" t="s">
        <v>153</v>
      </c>
    </row>
    <row r="43" customFormat="false" ht="15" hidden="false" customHeight="false" outlineLevel="0" collapsed="false">
      <c r="A43" s="3" t="s">
        <v>154</v>
      </c>
      <c r="B43" s="3" t="s">
        <v>155</v>
      </c>
      <c r="C43" s="14" t="n">
        <v>0.112</v>
      </c>
      <c r="D43" s="3" t="s">
        <v>37</v>
      </c>
      <c r="E43" s="15" t="n">
        <v>0.112</v>
      </c>
      <c r="F43" s="15" t="n">
        <v>0.112</v>
      </c>
      <c r="G43" s="3" t="s">
        <v>27</v>
      </c>
      <c r="H43" s="3"/>
      <c r="I43" s="3" t="s">
        <v>156</v>
      </c>
      <c r="J43" s="11" t="s">
        <v>157</v>
      </c>
    </row>
    <row r="44" customFormat="false" ht="15" hidden="false" customHeight="false" outlineLevel="0" collapsed="false">
      <c r="A44" s="3" t="s">
        <v>158</v>
      </c>
      <c r="B44" s="3" t="s">
        <v>159</v>
      </c>
      <c r="C44" s="14" t="n">
        <v>0.025</v>
      </c>
      <c r="D44" s="3" t="s">
        <v>37</v>
      </c>
      <c r="G44" s="3" t="s">
        <v>120</v>
      </c>
      <c r="H44" s="3"/>
    </row>
    <row r="45" customFormat="false" ht="15" hidden="false" customHeight="false" outlineLevel="0" collapsed="false">
      <c r="A45" s="3" t="s">
        <v>160</v>
      </c>
      <c r="B45" s="3" t="s">
        <v>161</v>
      </c>
      <c r="C45" s="16" t="n">
        <v>750000</v>
      </c>
      <c r="D45" s="3" t="s">
        <v>2</v>
      </c>
      <c r="E45" s="17" t="n">
        <v>750000</v>
      </c>
      <c r="F45" s="17" t="n">
        <v>750000</v>
      </c>
      <c r="G45" s="3" t="s">
        <v>27</v>
      </c>
      <c r="H45" s="3"/>
      <c r="I45" s="3" t="s">
        <v>162</v>
      </c>
      <c r="J45" s="11" t="s">
        <v>157</v>
      </c>
    </row>
    <row r="46" customFormat="false" ht="15" hidden="false" customHeight="false" outlineLevel="0" collapsed="false">
      <c r="A46" s="3" t="s">
        <v>163</v>
      </c>
      <c r="B46" s="3" t="s">
        <v>164</v>
      </c>
      <c r="C46" s="14" t="n">
        <v>0.025</v>
      </c>
      <c r="D46" s="3" t="s">
        <v>37</v>
      </c>
      <c r="E46" s="15" t="n">
        <v>0.025</v>
      </c>
      <c r="F46" s="15" t="n">
        <v>0.025</v>
      </c>
      <c r="G46" s="3" t="s">
        <v>27</v>
      </c>
      <c r="H46" s="3"/>
      <c r="I46" s="3" t="s">
        <v>165</v>
      </c>
      <c r="J46" s="11" t="s">
        <v>166</v>
      </c>
    </row>
    <row r="47" customFormat="false" ht="15" hidden="false" customHeight="false" outlineLevel="0" collapsed="false">
      <c r="A47" s="3" t="s">
        <v>167</v>
      </c>
      <c r="B47" s="3" t="s">
        <v>168</v>
      </c>
      <c r="C47" s="9" t="n">
        <v>13</v>
      </c>
      <c r="D47" s="3" t="s">
        <v>169</v>
      </c>
      <c r="E47" s="10" t="n">
        <v>13</v>
      </c>
      <c r="F47" s="10" t="n">
        <v>13</v>
      </c>
      <c r="G47" s="3" t="s">
        <v>27</v>
      </c>
      <c r="H47" s="3"/>
      <c r="I47" s="3" t="s">
        <v>170</v>
      </c>
      <c r="J47" s="11" t="s">
        <v>171</v>
      </c>
    </row>
    <row r="48" customFormat="false" ht="15" hidden="false" customHeight="false" outlineLevel="0" collapsed="false">
      <c r="A48" s="3" t="s">
        <v>172</v>
      </c>
      <c r="B48" s="3" t="s">
        <v>173</v>
      </c>
      <c r="C48" s="16" t="n">
        <v>1300</v>
      </c>
      <c r="D48" s="3" t="s">
        <v>174</v>
      </c>
      <c r="E48" s="17" t="n">
        <v>1300</v>
      </c>
      <c r="F48" s="17" t="n">
        <v>1300</v>
      </c>
      <c r="G48" s="3" t="s">
        <v>27</v>
      </c>
      <c r="H48" s="3"/>
      <c r="I48" s="3" t="s">
        <v>175</v>
      </c>
      <c r="J48" s="11" t="s">
        <v>176</v>
      </c>
    </row>
    <row r="49" customFormat="false" ht="15" hidden="false" customHeight="false" outlineLevel="0" collapsed="false">
      <c r="A49" s="3" t="s">
        <v>177</v>
      </c>
      <c r="B49" s="3" t="s">
        <v>178</v>
      </c>
      <c r="C49" s="16" t="n">
        <v>22</v>
      </c>
      <c r="D49" s="3" t="s">
        <v>179</v>
      </c>
      <c r="G49" s="3" t="s">
        <v>120</v>
      </c>
      <c r="H49" s="3"/>
    </row>
    <row r="50" customFormat="false" ht="15" hidden="false" customHeight="false" outlineLevel="0" collapsed="false">
      <c r="A50" s="3" t="s">
        <v>180</v>
      </c>
      <c r="B50" s="3" t="s">
        <v>181</v>
      </c>
      <c r="C50" s="16" t="n">
        <v>26</v>
      </c>
      <c r="D50" s="3" t="s">
        <v>179</v>
      </c>
      <c r="G50" s="3" t="s">
        <v>120</v>
      </c>
      <c r="H50" s="3"/>
    </row>
    <row r="51" customFormat="false" ht="15" hidden="false" customHeight="false" outlineLevel="0" collapsed="false">
      <c r="A51" s="3" t="s">
        <v>182</v>
      </c>
      <c r="B51" s="3" t="s">
        <v>183</v>
      </c>
      <c r="C51" s="16" t="n">
        <v>142500</v>
      </c>
      <c r="D51" s="3" t="s">
        <v>184</v>
      </c>
      <c r="E51" s="17" t="n">
        <v>135000</v>
      </c>
      <c r="F51" s="17" t="n">
        <v>150000</v>
      </c>
      <c r="G51" s="3" t="s">
        <v>27</v>
      </c>
      <c r="H51" s="3" t="s">
        <v>43</v>
      </c>
      <c r="I51" s="3" t="s">
        <v>185</v>
      </c>
      <c r="J51" s="11" t="s">
        <v>186</v>
      </c>
    </row>
    <row r="52" customFormat="false" ht="15" hidden="false" customHeight="false" outlineLevel="0" collapsed="false">
      <c r="A52" s="3" t="s">
        <v>187</v>
      </c>
      <c r="B52" s="3" t="s">
        <v>188</v>
      </c>
      <c r="C52" s="9" t="n">
        <v>4.2</v>
      </c>
      <c r="D52" s="3" t="s">
        <v>189</v>
      </c>
      <c r="G52" s="3" t="s">
        <v>120</v>
      </c>
      <c r="H52" s="3"/>
    </row>
    <row r="53" customFormat="false" ht="15" hidden="false" customHeight="false" outlineLevel="0" collapsed="false">
      <c r="A53" s="6" t="s">
        <v>190</v>
      </c>
    </row>
    <row r="54" customFormat="false" ht="15" hidden="false" customHeight="false" outlineLevel="0" collapsed="false">
      <c r="A54" s="3" t="s">
        <v>191</v>
      </c>
      <c r="B54" s="3" t="s">
        <v>192</v>
      </c>
      <c r="C54" s="16" t="n">
        <v>1000000</v>
      </c>
      <c r="D54" s="3" t="s">
        <v>184</v>
      </c>
      <c r="E54" s="17" t="n">
        <v>1000000</v>
      </c>
      <c r="F54" s="17" t="n">
        <v>5000000</v>
      </c>
      <c r="G54" s="3" t="s">
        <v>27</v>
      </c>
      <c r="H54" s="3" t="s">
        <v>193</v>
      </c>
      <c r="I54" s="3" t="s">
        <v>194</v>
      </c>
      <c r="J54" s="11" t="s">
        <v>195</v>
      </c>
    </row>
    <row r="55" customFormat="false" ht="15" hidden="false" customHeight="false" outlineLevel="0" collapsed="false">
      <c r="A55" s="3" t="s">
        <v>196</v>
      </c>
      <c r="B55" s="3" t="s">
        <v>197</v>
      </c>
      <c r="C55" s="16" t="n">
        <v>575000</v>
      </c>
      <c r="D55" s="3" t="s">
        <v>184</v>
      </c>
      <c r="E55" s="17" t="n">
        <v>350000</v>
      </c>
      <c r="F55" s="17" t="n">
        <v>800000</v>
      </c>
      <c r="G55" s="3" t="s">
        <v>27</v>
      </c>
      <c r="H55" s="3" t="s">
        <v>43</v>
      </c>
      <c r="I55" s="3" t="s">
        <v>198</v>
      </c>
      <c r="J55" s="11" t="s">
        <v>199</v>
      </c>
    </row>
    <row r="56" customFormat="false" ht="15" hidden="false" customHeight="false" outlineLevel="0" collapsed="false">
      <c r="A56" s="3" t="s">
        <v>200</v>
      </c>
      <c r="B56" s="3" t="s">
        <v>201</v>
      </c>
      <c r="C56" s="16" t="n">
        <v>100000</v>
      </c>
      <c r="D56" s="3" t="s">
        <v>184</v>
      </c>
      <c r="E56" s="17" t="n">
        <v>80000</v>
      </c>
      <c r="F56" s="17" t="n">
        <v>120000</v>
      </c>
      <c r="G56" s="3" t="s">
        <v>27</v>
      </c>
      <c r="H56" s="3" t="s">
        <v>43</v>
      </c>
      <c r="I56" s="3" t="s">
        <v>202</v>
      </c>
      <c r="J56" s="11" t="s">
        <v>203</v>
      </c>
    </row>
    <row r="57" customFormat="false" ht="15" hidden="false" customHeight="false" outlineLevel="0" collapsed="false">
      <c r="A57" s="3" t="s">
        <v>204</v>
      </c>
      <c r="B57" s="3" t="s">
        <v>205</v>
      </c>
      <c r="C57" s="16" t="n">
        <v>167500</v>
      </c>
      <c r="D57" s="3" t="s">
        <v>184</v>
      </c>
      <c r="E57" s="17" t="n">
        <v>85000</v>
      </c>
      <c r="F57" s="17" t="n">
        <v>250000</v>
      </c>
      <c r="G57" s="3" t="s">
        <v>27</v>
      </c>
      <c r="H57" s="3" t="s">
        <v>43</v>
      </c>
      <c r="I57" s="3" t="s">
        <v>206</v>
      </c>
      <c r="J57" s="11" t="s">
        <v>207</v>
      </c>
    </row>
    <row r="58" customFormat="false" ht="15" hidden="false" customHeight="false" outlineLevel="0" collapsed="false">
      <c r="A58" s="3" t="s">
        <v>208</v>
      </c>
      <c r="B58" s="3" t="s">
        <v>209</v>
      </c>
      <c r="C58" s="16" t="n">
        <v>80000</v>
      </c>
      <c r="D58" s="3" t="s">
        <v>184</v>
      </c>
      <c r="E58" s="17" t="n">
        <v>60000</v>
      </c>
      <c r="F58" s="17" t="n">
        <v>100000</v>
      </c>
      <c r="G58" s="3" t="s">
        <v>27</v>
      </c>
      <c r="H58" s="3" t="s">
        <v>43</v>
      </c>
      <c r="I58" s="3" t="s">
        <v>210</v>
      </c>
      <c r="J58" s="11" t="s">
        <v>211</v>
      </c>
    </row>
    <row r="59" customFormat="false" ht="15" hidden="false" customHeight="false" outlineLevel="0" collapsed="false">
      <c r="A59" s="3" t="s">
        <v>212</v>
      </c>
      <c r="B59" s="3" t="s">
        <v>213</v>
      </c>
      <c r="C59" s="16" t="n">
        <v>105000</v>
      </c>
      <c r="D59" s="3" t="s">
        <v>184</v>
      </c>
      <c r="E59" s="17" t="n">
        <v>60000</v>
      </c>
      <c r="F59" s="17" t="n">
        <v>150000</v>
      </c>
      <c r="G59" s="3" t="s">
        <v>27</v>
      </c>
      <c r="H59" s="3" t="s">
        <v>43</v>
      </c>
      <c r="I59" s="3" t="s">
        <v>210</v>
      </c>
      <c r="J59" s="11" t="s">
        <v>211</v>
      </c>
    </row>
    <row r="60" customFormat="false" ht="15" hidden="false" customHeight="false" outlineLevel="0" collapsed="false">
      <c r="A60" s="3" t="s">
        <v>214</v>
      </c>
      <c r="B60" s="3" t="s">
        <v>215</v>
      </c>
      <c r="C60" s="16" t="n">
        <v>95000</v>
      </c>
      <c r="D60" s="3" t="s">
        <v>184</v>
      </c>
      <c r="E60" s="17" t="n">
        <v>70000</v>
      </c>
      <c r="F60" s="17" t="n">
        <v>120000</v>
      </c>
      <c r="G60" s="3" t="s">
        <v>27</v>
      </c>
      <c r="H60" s="3" t="s">
        <v>43</v>
      </c>
      <c r="I60" s="3" t="s">
        <v>216</v>
      </c>
      <c r="J60" s="11" t="s">
        <v>217</v>
      </c>
    </row>
    <row r="61" customFormat="false" ht="15" hidden="false" customHeight="false" outlineLevel="0" collapsed="false">
      <c r="A61" s="3" t="s">
        <v>218</v>
      </c>
      <c r="B61" s="3" t="s">
        <v>219</v>
      </c>
      <c r="C61" s="16" t="n">
        <v>200000</v>
      </c>
      <c r="D61" s="3" t="s">
        <v>184</v>
      </c>
      <c r="E61" s="17" t="n">
        <v>150000</v>
      </c>
      <c r="F61" s="17" t="n">
        <v>250000</v>
      </c>
      <c r="G61" s="3" t="s">
        <v>27</v>
      </c>
      <c r="H61" s="3" t="s">
        <v>43</v>
      </c>
      <c r="I61" s="3" t="s">
        <v>220</v>
      </c>
      <c r="J61" s="11" t="s">
        <v>221</v>
      </c>
    </row>
    <row r="62" customFormat="false" ht="15" hidden="false" customHeight="false" outlineLevel="0" collapsed="false">
      <c r="A62" s="3" t="s">
        <v>222</v>
      </c>
      <c r="B62" s="3" t="s">
        <v>223</v>
      </c>
      <c r="C62" s="16" t="n">
        <v>237500</v>
      </c>
      <c r="D62" s="3" t="s">
        <v>184</v>
      </c>
      <c r="E62" s="17" t="n">
        <v>100000</v>
      </c>
      <c r="F62" s="17" t="n">
        <v>375000</v>
      </c>
      <c r="G62" s="3" t="s">
        <v>27</v>
      </c>
      <c r="H62" s="3" t="s">
        <v>43</v>
      </c>
      <c r="I62" s="3" t="s">
        <v>224</v>
      </c>
      <c r="J62" s="11" t="s">
        <v>225</v>
      </c>
    </row>
    <row r="63" customFormat="false" ht="15" hidden="false" customHeight="false" outlineLevel="0" collapsed="false">
      <c r="A63" s="3" t="s">
        <v>226</v>
      </c>
      <c r="B63" s="3" t="s">
        <v>227</v>
      </c>
      <c r="C63" s="16" t="n">
        <v>105000</v>
      </c>
      <c r="D63" s="3" t="s">
        <v>184</v>
      </c>
      <c r="E63" s="17" t="n">
        <v>60000</v>
      </c>
      <c r="F63" s="17" t="n">
        <v>150000</v>
      </c>
      <c r="G63" s="3" t="s">
        <v>27</v>
      </c>
      <c r="H63" s="3" t="s">
        <v>43</v>
      </c>
      <c r="I63" s="3" t="s">
        <v>228</v>
      </c>
      <c r="J63" s="11" t="s">
        <v>229</v>
      </c>
    </row>
    <row r="64" customFormat="false" ht="15" hidden="false" customHeight="false" outlineLevel="0" collapsed="false">
      <c r="A64" s="3" t="s">
        <v>230</v>
      </c>
      <c r="B64" s="3" t="s">
        <v>231</v>
      </c>
      <c r="C64" s="16" t="n">
        <v>237500</v>
      </c>
      <c r="D64" s="3" t="s">
        <v>184</v>
      </c>
      <c r="E64" s="17" t="n">
        <v>100000</v>
      </c>
      <c r="F64" s="17" t="n">
        <v>375000</v>
      </c>
      <c r="G64" s="3" t="s">
        <v>27</v>
      </c>
      <c r="H64" s="3" t="s">
        <v>43</v>
      </c>
      <c r="I64" s="3" t="s">
        <v>224</v>
      </c>
      <c r="J64" s="11" t="s">
        <v>225</v>
      </c>
    </row>
    <row r="65" customFormat="false" ht="15" hidden="false" customHeight="false" outlineLevel="0" collapsed="false">
      <c r="A65" s="3" t="s">
        <v>232</v>
      </c>
      <c r="B65" s="3" t="s">
        <v>233</v>
      </c>
      <c r="C65" s="16" t="n">
        <v>475000</v>
      </c>
      <c r="D65" s="3" t="s">
        <v>184</v>
      </c>
      <c r="E65" s="17" t="n">
        <v>150000</v>
      </c>
      <c r="F65" s="17" t="n">
        <v>800000</v>
      </c>
      <c r="G65" s="3" t="s">
        <v>27</v>
      </c>
      <c r="H65" s="3" t="s">
        <v>43</v>
      </c>
      <c r="I65" s="3" t="s">
        <v>234</v>
      </c>
      <c r="J65" s="11" t="s">
        <v>235</v>
      </c>
    </row>
    <row r="66" customFormat="false" ht="15" hidden="false" customHeight="false" outlineLevel="0" collapsed="false">
      <c r="A66" s="3" t="s">
        <v>236</v>
      </c>
      <c r="B66" s="3" t="s">
        <v>237</v>
      </c>
      <c r="C66" s="16" t="n">
        <v>475000</v>
      </c>
      <c r="D66" s="3" t="s">
        <v>184</v>
      </c>
      <c r="E66" s="17" t="n">
        <v>200000</v>
      </c>
      <c r="F66" s="17" t="n">
        <v>750000</v>
      </c>
      <c r="G66" s="3" t="s">
        <v>27</v>
      </c>
      <c r="H66" s="3" t="s">
        <v>43</v>
      </c>
      <c r="I66" s="3" t="s">
        <v>238</v>
      </c>
      <c r="J66" s="11" t="s">
        <v>239</v>
      </c>
    </row>
    <row r="67" customFormat="false" ht="15" hidden="false" customHeight="false" outlineLevel="0" collapsed="false">
      <c r="A67" s="3" t="s">
        <v>240</v>
      </c>
      <c r="B67" s="3" t="s">
        <v>241</v>
      </c>
      <c r="C67" s="16" t="n">
        <v>325000</v>
      </c>
      <c r="D67" s="3" t="s">
        <v>184</v>
      </c>
      <c r="E67" s="17" t="n">
        <v>150000</v>
      </c>
      <c r="F67" s="17" t="n">
        <v>500000</v>
      </c>
      <c r="G67" s="3" t="s">
        <v>27</v>
      </c>
      <c r="H67" s="3" t="s">
        <v>43</v>
      </c>
      <c r="I67" s="3" t="s">
        <v>242</v>
      </c>
      <c r="J67" s="11" t="s">
        <v>195</v>
      </c>
    </row>
    <row r="68" customFormat="false" ht="15" hidden="false" customHeight="false" outlineLevel="0" collapsed="false">
      <c r="A68" s="3" t="s">
        <v>243</v>
      </c>
      <c r="B68" s="3" t="s">
        <v>244</v>
      </c>
      <c r="C68" s="16" t="n">
        <v>205000</v>
      </c>
      <c r="D68" s="3" t="s">
        <v>184</v>
      </c>
      <c r="E68" s="17" t="n">
        <v>160000</v>
      </c>
      <c r="F68" s="17" t="n">
        <v>250000</v>
      </c>
      <c r="G68" s="3" t="s">
        <v>27</v>
      </c>
      <c r="H68" s="3" t="s">
        <v>43</v>
      </c>
      <c r="I68" s="3" t="s">
        <v>245</v>
      </c>
      <c r="J68" s="11" t="s">
        <v>246</v>
      </c>
    </row>
    <row r="69" customFormat="false" ht="15" hidden="false" customHeight="false" outlineLevel="0" collapsed="false">
      <c r="A69" s="3" t="s">
        <v>247</v>
      </c>
      <c r="B69" s="3" t="s">
        <v>248</v>
      </c>
      <c r="C69" s="16" t="n">
        <v>60000</v>
      </c>
      <c r="D69" s="3" t="s">
        <v>184</v>
      </c>
      <c r="E69" s="17" t="n">
        <v>60000</v>
      </c>
      <c r="F69" s="17" t="n">
        <v>60000</v>
      </c>
      <c r="G69" s="3" t="s">
        <v>27</v>
      </c>
      <c r="H69" s="3" t="s">
        <v>43</v>
      </c>
      <c r="I69" s="3" t="s">
        <v>249</v>
      </c>
      <c r="J69" s="11" t="s">
        <v>250</v>
      </c>
    </row>
    <row r="70" customFormat="false" ht="15" hidden="false" customHeight="false" outlineLevel="0" collapsed="false">
      <c r="A70" s="3" t="s">
        <v>251</v>
      </c>
      <c r="B70" s="3" t="s">
        <v>252</v>
      </c>
      <c r="C70" s="16" t="n">
        <v>190000</v>
      </c>
      <c r="D70" s="3" t="s">
        <v>184</v>
      </c>
      <c r="E70" s="17" t="n">
        <v>80000</v>
      </c>
      <c r="F70" s="17" t="n">
        <v>300000</v>
      </c>
      <c r="G70" s="3" t="s">
        <v>27</v>
      </c>
      <c r="H70" s="3" t="s">
        <v>43</v>
      </c>
      <c r="I70" s="3" t="s">
        <v>253</v>
      </c>
      <c r="J70" s="11" t="s">
        <v>254</v>
      </c>
    </row>
    <row r="71" customFormat="false" ht="15" hidden="false" customHeight="false" outlineLevel="0" collapsed="false">
      <c r="A71" s="3" t="s">
        <v>255</v>
      </c>
      <c r="B71" s="3" t="s">
        <v>256</v>
      </c>
      <c r="C71" s="16" t="n">
        <v>95000</v>
      </c>
      <c r="D71" s="3" t="s">
        <v>184</v>
      </c>
      <c r="E71" s="17" t="n">
        <v>70000</v>
      </c>
      <c r="F71" s="17" t="n">
        <v>120000</v>
      </c>
      <c r="G71" s="3" t="s">
        <v>27</v>
      </c>
      <c r="H71" s="3" t="s">
        <v>43</v>
      </c>
      <c r="I71" s="3" t="s">
        <v>216</v>
      </c>
      <c r="J71" s="11" t="s">
        <v>217</v>
      </c>
    </row>
    <row r="72" customFormat="false" ht="15" hidden="false" customHeight="false" outlineLevel="0" collapsed="false">
      <c r="A72" s="6" t="s">
        <v>257</v>
      </c>
    </row>
    <row r="73" customFormat="false" ht="15" hidden="false" customHeight="false" outlineLevel="0" collapsed="false">
      <c r="A73" s="3" t="s">
        <v>258</v>
      </c>
      <c r="B73" s="3" t="s">
        <v>259</v>
      </c>
      <c r="C73" s="18" t="n">
        <v>1867.02</v>
      </c>
      <c r="D73" s="3" t="s">
        <v>260</v>
      </c>
      <c r="E73" s="5" t="n">
        <v>1867.02</v>
      </c>
      <c r="F73" s="5" t="n">
        <v>1867.02</v>
      </c>
      <c r="G73" s="3" t="s">
        <v>27</v>
      </c>
      <c r="H73" s="3"/>
      <c r="I73" s="3" t="s">
        <v>261</v>
      </c>
      <c r="J73" s="11" t="s">
        <v>262</v>
      </c>
    </row>
    <row r="74" customFormat="false" ht="15" hidden="false" customHeight="false" outlineLevel="0" collapsed="false">
      <c r="A74" s="3" t="s">
        <v>263</v>
      </c>
      <c r="B74" s="3" t="s">
        <v>264</v>
      </c>
      <c r="C74" s="18" t="n">
        <v>49500</v>
      </c>
      <c r="D74" s="3" t="s">
        <v>265</v>
      </c>
      <c r="E74" s="5" t="n">
        <v>43000</v>
      </c>
      <c r="F74" s="5" t="n">
        <v>56000</v>
      </c>
      <c r="G74" s="3" t="s">
        <v>27</v>
      </c>
      <c r="H74" s="3" t="s">
        <v>43</v>
      </c>
      <c r="I74" s="3" t="s">
        <v>266</v>
      </c>
      <c r="J74" s="11" t="s">
        <v>267</v>
      </c>
    </row>
    <row r="75" customFormat="false" ht="15" hidden="false" customHeight="false" outlineLevel="0" collapsed="false">
      <c r="A75" s="3" t="s">
        <v>268</v>
      </c>
      <c r="B75" s="3" t="s">
        <v>269</v>
      </c>
      <c r="C75" s="18" t="n">
        <v>40000</v>
      </c>
      <c r="D75" s="3" t="s">
        <v>265</v>
      </c>
      <c r="E75" s="5" t="n">
        <v>35000</v>
      </c>
      <c r="F75" s="5" t="n">
        <v>45000</v>
      </c>
      <c r="G75" s="3" t="s">
        <v>27</v>
      </c>
      <c r="H75" s="3" t="s">
        <v>43</v>
      </c>
      <c r="I75" s="3" t="s">
        <v>270</v>
      </c>
      <c r="J75" s="11" t="s">
        <v>271</v>
      </c>
    </row>
    <row r="76" customFormat="false" ht="15" hidden="false" customHeight="false" outlineLevel="0" collapsed="false">
      <c r="A76" s="3" t="s">
        <v>272</v>
      </c>
      <c r="B76" s="3" t="s">
        <v>273</v>
      </c>
      <c r="C76" s="18" t="n">
        <v>215.5</v>
      </c>
      <c r="D76" s="3" t="s">
        <v>274</v>
      </c>
      <c r="E76" s="5" t="n">
        <v>198</v>
      </c>
      <c r="F76" s="5" t="n">
        <v>233</v>
      </c>
      <c r="G76" s="3" t="s">
        <v>27</v>
      </c>
      <c r="H76" s="3" t="s">
        <v>43</v>
      </c>
      <c r="I76" s="3" t="s">
        <v>275</v>
      </c>
      <c r="J76" s="11" t="s">
        <v>276</v>
      </c>
    </row>
    <row r="77" customFormat="false" ht="15" hidden="false" customHeight="false" outlineLevel="0" collapsed="false">
      <c r="A77" s="3" t="s">
        <v>277</v>
      </c>
      <c r="B77" s="3" t="s">
        <v>278</v>
      </c>
      <c r="C77" s="16" t="n">
        <v>60</v>
      </c>
      <c r="D77" s="3" t="s">
        <v>279</v>
      </c>
      <c r="G77" s="3" t="s">
        <v>120</v>
      </c>
      <c r="H77" s="3"/>
    </row>
    <row r="78" customFormat="false" ht="15" hidden="false" customHeight="false" outlineLevel="0" collapsed="false">
      <c r="A78" s="3" t="s">
        <v>280</v>
      </c>
      <c r="B78" s="3" t="s">
        <v>281</v>
      </c>
      <c r="C78" s="18" t="n">
        <v>5000</v>
      </c>
      <c r="D78" s="3" t="s">
        <v>265</v>
      </c>
      <c r="E78" s="5" t="n">
        <v>2000</v>
      </c>
      <c r="F78" s="5" t="n">
        <v>8000</v>
      </c>
      <c r="G78" s="3" t="s">
        <v>27</v>
      </c>
      <c r="H78" s="3" t="s">
        <v>43</v>
      </c>
      <c r="I78" s="3" t="s">
        <v>282</v>
      </c>
      <c r="J78" s="11" t="s">
        <v>283</v>
      </c>
    </row>
    <row r="79" customFormat="false" ht="15" hidden="false" customHeight="false" outlineLevel="0" collapsed="false">
      <c r="A79" s="3" t="s">
        <v>284</v>
      </c>
      <c r="B79" s="3" t="s">
        <v>285</v>
      </c>
      <c r="C79" s="18" t="n">
        <v>3100</v>
      </c>
      <c r="D79" s="3" t="s">
        <v>265</v>
      </c>
      <c r="E79" s="5" t="n">
        <v>200</v>
      </c>
      <c r="F79" s="5" t="n">
        <v>6000</v>
      </c>
      <c r="G79" s="3" t="s">
        <v>27</v>
      </c>
      <c r="H79" s="3" t="s">
        <v>43</v>
      </c>
      <c r="I79" s="3" t="s">
        <v>286</v>
      </c>
      <c r="J79" s="11" t="s">
        <v>287</v>
      </c>
    </row>
    <row r="80" customFormat="false" ht="15" hidden="false" customHeight="false" outlineLevel="0" collapsed="false">
      <c r="A80" s="3" t="s">
        <v>288</v>
      </c>
      <c r="B80" s="3" t="s">
        <v>289</v>
      </c>
      <c r="C80" s="18" t="n">
        <v>29.5</v>
      </c>
      <c r="D80" s="3" t="s">
        <v>260</v>
      </c>
      <c r="E80" s="5" t="n">
        <v>9</v>
      </c>
      <c r="F80" s="5" t="n">
        <v>50</v>
      </c>
      <c r="G80" s="3" t="s">
        <v>27</v>
      </c>
      <c r="H80" s="3" t="s">
        <v>43</v>
      </c>
      <c r="I80" s="3" t="s">
        <v>290</v>
      </c>
      <c r="J80" s="11" t="s">
        <v>291</v>
      </c>
    </row>
    <row r="81" customFormat="false" ht="15" hidden="false" customHeight="false" outlineLevel="0" collapsed="false">
      <c r="A81" s="6" t="s">
        <v>292</v>
      </c>
    </row>
    <row r="82" customFormat="false" ht="15" hidden="false" customHeight="false" outlineLevel="0" collapsed="false">
      <c r="A82" s="3" t="s">
        <v>293</v>
      </c>
      <c r="B82" s="3" t="s">
        <v>294</v>
      </c>
      <c r="C82" s="16" t="n">
        <v>150000</v>
      </c>
      <c r="D82" s="3" t="s">
        <v>295</v>
      </c>
      <c r="E82" s="17" t="n">
        <v>120000</v>
      </c>
      <c r="F82" s="17" t="n">
        <v>180000</v>
      </c>
      <c r="G82" s="3" t="s">
        <v>27</v>
      </c>
      <c r="H82" s="3" t="s">
        <v>43</v>
      </c>
      <c r="I82" s="3" t="s">
        <v>296</v>
      </c>
      <c r="J82" s="11" t="s">
        <v>297</v>
      </c>
    </row>
    <row r="83" customFormat="false" ht="15" hidden="false" customHeight="false" outlineLevel="0" collapsed="false">
      <c r="A83" s="3" t="s">
        <v>298</v>
      </c>
      <c r="B83" s="3" t="s">
        <v>299</v>
      </c>
      <c r="C83" s="16" t="n">
        <v>365000</v>
      </c>
      <c r="D83" s="3" t="s">
        <v>295</v>
      </c>
      <c r="E83" s="17" t="n">
        <v>280000</v>
      </c>
      <c r="F83" s="17" t="n">
        <v>450000</v>
      </c>
      <c r="G83" s="3" t="s">
        <v>27</v>
      </c>
      <c r="H83" s="3" t="s">
        <v>43</v>
      </c>
      <c r="I83" s="3" t="s">
        <v>296</v>
      </c>
      <c r="J83" s="11" t="s">
        <v>297</v>
      </c>
    </row>
    <row r="84" customFormat="false" ht="15" hidden="false" customHeight="false" outlineLevel="0" collapsed="false">
      <c r="A84" s="3" t="s">
        <v>300</v>
      </c>
      <c r="B84" s="3" t="s">
        <v>301</v>
      </c>
      <c r="C84" s="12" t="n">
        <v>0.15</v>
      </c>
      <c r="D84" s="3" t="s">
        <v>37</v>
      </c>
      <c r="G84" s="3" t="s">
        <v>120</v>
      </c>
      <c r="H84" s="3"/>
    </row>
    <row r="85" customFormat="false" ht="15" hidden="false" customHeight="false" outlineLevel="0" collapsed="false">
      <c r="A85" s="3" t="s">
        <v>302</v>
      </c>
      <c r="B85" s="3" t="s">
        <v>303</v>
      </c>
      <c r="C85" s="16" t="n">
        <v>37500</v>
      </c>
      <c r="D85" s="3" t="s">
        <v>295</v>
      </c>
      <c r="E85" s="17" t="n">
        <v>25000</v>
      </c>
      <c r="F85" s="17" t="n">
        <v>50000</v>
      </c>
      <c r="G85" s="3" t="s">
        <v>27</v>
      </c>
      <c r="H85" s="3" t="s">
        <v>43</v>
      </c>
      <c r="I85" s="3" t="s">
        <v>304</v>
      </c>
      <c r="J85" s="11" t="s">
        <v>305</v>
      </c>
    </row>
    <row r="86" customFormat="false" ht="15" hidden="false" customHeight="false" outlineLevel="0" collapsed="false">
      <c r="A86" s="3" t="s">
        <v>306</v>
      </c>
      <c r="B86" s="3" t="s">
        <v>307</v>
      </c>
      <c r="C86" s="19" t="n">
        <v>2500</v>
      </c>
      <c r="D86" s="3" t="s">
        <v>279</v>
      </c>
      <c r="G86" s="3" t="s">
        <v>120</v>
      </c>
      <c r="H86" s="3"/>
    </row>
    <row r="87" customFormat="false" ht="15" hidden="false" customHeight="false" outlineLevel="0" collapsed="false">
      <c r="A87" s="3" t="s">
        <v>308</v>
      </c>
      <c r="B87" s="3" t="s">
        <v>309</v>
      </c>
      <c r="C87" s="16" t="n">
        <v>210526</v>
      </c>
      <c r="D87" s="3" t="s">
        <v>310</v>
      </c>
      <c r="E87" s="17" t="n">
        <v>210526</v>
      </c>
      <c r="F87" s="17" t="n">
        <v>210526</v>
      </c>
      <c r="G87" s="3" t="s">
        <v>27</v>
      </c>
      <c r="H87" s="3"/>
      <c r="I87" s="3" t="s">
        <v>311</v>
      </c>
      <c r="J87" s="11" t="s">
        <v>312</v>
      </c>
    </row>
    <row r="88" customFormat="false" ht="15" hidden="false" customHeight="false" outlineLevel="0" collapsed="false">
      <c r="A88" s="3" t="s">
        <v>313</v>
      </c>
      <c r="B88" s="3" t="s">
        <v>314</v>
      </c>
      <c r="C88" s="16" t="n">
        <v>60000</v>
      </c>
      <c r="D88" s="3" t="s">
        <v>295</v>
      </c>
      <c r="E88" s="17" t="n">
        <v>40000</v>
      </c>
      <c r="F88" s="17" t="n">
        <v>80000</v>
      </c>
      <c r="G88" s="3" t="s">
        <v>27</v>
      </c>
      <c r="H88" s="3" t="s">
        <v>43</v>
      </c>
      <c r="I88" s="3" t="s">
        <v>315</v>
      </c>
      <c r="J88" s="11" t="s">
        <v>316</v>
      </c>
    </row>
    <row r="89" customFormat="false" ht="15" hidden="false" customHeight="false" outlineLevel="0" collapsed="false">
      <c r="A89" s="6" t="s">
        <v>317</v>
      </c>
    </row>
    <row r="90" customFormat="false" ht="15" hidden="false" customHeight="false" outlineLevel="0" collapsed="false">
      <c r="A90" s="3" t="s">
        <v>318</v>
      </c>
      <c r="B90" s="3" t="s">
        <v>319</v>
      </c>
      <c r="C90" s="18" t="n">
        <v>2875</v>
      </c>
      <c r="D90" s="3" t="s">
        <v>320</v>
      </c>
      <c r="E90" s="5" t="n">
        <v>2875</v>
      </c>
      <c r="F90" s="5" t="n">
        <v>2875</v>
      </c>
      <c r="G90" s="3" t="s">
        <v>27</v>
      </c>
      <c r="H90" s="3"/>
      <c r="I90" s="3" t="s">
        <v>321</v>
      </c>
      <c r="J90" s="11" t="s">
        <v>322</v>
      </c>
    </row>
    <row r="91" customFormat="false" ht="15" hidden="false" customHeight="false" outlineLevel="0" collapsed="false">
      <c r="A91" s="3" t="s">
        <v>323</v>
      </c>
      <c r="B91" s="3" t="s">
        <v>324</v>
      </c>
      <c r="C91" s="18" t="n">
        <v>85</v>
      </c>
      <c r="D91" s="3" t="s">
        <v>325</v>
      </c>
      <c r="E91" s="5" t="n">
        <v>85</v>
      </c>
      <c r="F91" s="5" t="n">
        <v>85</v>
      </c>
      <c r="G91" s="3" t="s">
        <v>27</v>
      </c>
      <c r="H91" s="3"/>
      <c r="I91" s="3" t="s">
        <v>326</v>
      </c>
      <c r="J91" s="11" t="s">
        <v>327</v>
      </c>
    </row>
    <row r="92" customFormat="false" ht="15" hidden="false" customHeight="false" outlineLevel="0" collapsed="false">
      <c r="A92" s="3" t="s">
        <v>328</v>
      </c>
      <c r="B92" s="3" t="s">
        <v>329</v>
      </c>
      <c r="C92" s="16" t="n">
        <v>25000</v>
      </c>
      <c r="D92" s="3" t="s">
        <v>2</v>
      </c>
      <c r="E92" s="17" t="n">
        <v>25000</v>
      </c>
      <c r="F92" s="17" t="n">
        <v>25000</v>
      </c>
      <c r="G92" s="3" t="s">
        <v>27</v>
      </c>
      <c r="H92" s="3"/>
      <c r="I92" s="3" t="s">
        <v>330</v>
      </c>
      <c r="J92" s="11" t="s">
        <v>331</v>
      </c>
    </row>
    <row r="93" customFormat="false" ht="15" hidden="false" customHeight="false" outlineLevel="0" collapsed="false">
      <c r="A93" s="3" t="s">
        <v>332</v>
      </c>
      <c r="B93" s="3" t="s">
        <v>333</v>
      </c>
      <c r="C93" s="16" t="n">
        <v>544500</v>
      </c>
      <c r="D93" s="3" t="s">
        <v>2</v>
      </c>
      <c r="E93" s="17" t="n">
        <v>450000</v>
      </c>
      <c r="F93" s="17" t="n">
        <v>639000</v>
      </c>
      <c r="G93" s="3" t="s">
        <v>27</v>
      </c>
      <c r="H93" s="3" t="s">
        <v>43</v>
      </c>
      <c r="I93" s="3" t="s">
        <v>334</v>
      </c>
      <c r="J93" s="11" t="s">
        <v>335</v>
      </c>
    </row>
    <row r="94" customFormat="false" ht="15" hidden="false" customHeight="false" outlineLevel="0" collapsed="false">
      <c r="A94" s="3" t="s">
        <v>336</v>
      </c>
      <c r="B94" s="3" t="s">
        <v>337</v>
      </c>
      <c r="C94" s="16" t="n">
        <v>12500000</v>
      </c>
      <c r="D94" s="3" t="s">
        <v>2</v>
      </c>
      <c r="E94" s="17" t="n">
        <v>12500000</v>
      </c>
      <c r="F94" s="17" t="n">
        <v>12500000</v>
      </c>
      <c r="G94" s="3" t="s">
        <v>27</v>
      </c>
      <c r="H94" s="3"/>
      <c r="I94" s="3" t="s">
        <v>338</v>
      </c>
      <c r="J94" s="11" t="s">
        <v>339</v>
      </c>
    </row>
    <row r="95" customFormat="false" ht="15" hidden="false" customHeight="false" outlineLevel="0" collapsed="false">
      <c r="A95" s="3" t="s">
        <v>340</v>
      </c>
      <c r="B95" s="3" t="s">
        <v>341</v>
      </c>
      <c r="C95" s="16" t="n">
        <v>16681700</v>
      </c>
      <c r="D95" s="3" t="s">
        <v>2</v>
      </c>
      <c r="E95" s="17" t="n">
        <v>12789300</v>
      </c>
      <c r="F95" s="17" t="n">
        <v>20574100</v>
      </c>
      <c r="G95" s="3" t="s">
        <v>27</v>
      </c>
      <c r="H95" s="3" t="s">
        <v>43</v>
      </c>
      <c r="I95" s="3" t="s">
        <v>342</v>
      </c>
      <c r="J95" s="11" t="s">
        <v>343</v>
      </c>
    </row>
    <row r="96" customFormat="false" ht="15" hidden="false" customHeight="false" outlineLevel="0" collapsed="false">
      <c r="A96" s="3" t="s">
        <v>344</v>
      </c>
      <c r="B96" s="3" t="s">
        <v>345</v>
      </c>
      <c r="C96" s="19" t="n">
        <v>8</v>
      </c>
      <c r="D96" s="3" t="s">
        <v>346</v>
      </c>
      <c r="G96" s="3" t="s">
        <v>120</v>
      </c>
      <c r="H96" s="3"/>
    </row>
    <row r="97" customFormat="false" ht="15" hidden="false" customHeight="false" outlineLevel="0" collapsed="false">
      <c r="A97" s="3" t="s">
        <v>347</v>
      </c>
      <c r="B97" s="3" t="s">
        <v>348</v>
      </c>
      <c r="C97" s="16" t="n">
        <v>1</v>
      </c>
      <c r="D97" s="3" t="s">
        <v>346</v>
      </c>
      <c r="G97" s="3" t="s">
        <v>120</v>
      </c>
      <c r="H97" s="3"/>
    </row>
    <row r="98" customFormat="false" ht="15" hidden="false" customHeight="false" outlineLevel="0" collapsed="false">
      <c r="A98" s="3" t="s">
        <v>349</v>
      </c>
      <c r="B98" s="3" t="s">
        <v>350</v>
      </c>
      <c r="C98" s="16" t="n">
        <v>1</v>
      </c>
      <c r="D98" s="3" t="s">
        <v>346</v>
      </c>
      <c r="G98" s="3" t="s">
        <v>120</v>
      </c>
      <c r="H98" s="3"/>
    </row>
    <row r="99" customFormat="false" ht="15" hidden="false" customHeight="false" outlineLevel="0" collapsed="false">
      <c r="A99" s="3" t="s">
        <v>351</v>
      </c>
      <c r="B99" s="3" t="s">
        <v>352</v>
      </c>
      <c r="C99" s="16" t="n">
        <v>840</v>
      </c>
      <c r="D99" s="3" t="s">
        <v>353</v>
      </c>
      <c r="E99" s="17" t="n">
        <v>840</v>
      </c>
      <c r="F99" s="17" t="n">
        <v>840</v>
      </c>
      <c r="G99" s="3" t="s">
        <v>27</v>
      </c>
      <c r="H99" s="3"/>
      <c r="I99" s="3" t="s">
        <v>354</v>
      </c>
      <c r="J99" s="11" t="s">
        <v>355</v>
      </c>
    </row>
    <row r="100" customFormat="false" ht="15" hidden="false" customHeight="false" outlineLevel="0" collapsed="false">
      <c r="A100" s="3" t="s">
        <v>356</v>
      </c>
      <c r="B100" s="3" t="s">
        <v>357</v>
      </c>
      <c r="C100" s="16" t="n">
        <v>828</v>
      </c>
      <c r="D100" s="3" t="s">
        <v>353</v>
      </c>
      <c r="E100" s="17" t="n">
        <v>828</v>
      </c>
      <c r="F100" s="17" t="n">
        <v>828</v>
      </c>
      <c r="G100" s="3" t="s">
        <v>27</v>
      </c>
      <c r="H100" s="3"/>
      <c r="I100" s="3" t="s">
        <v>354</v>
      </c>
      <c r="J100" s="11" t="s">
        <v>355</v>
      </c>
    </row>
    <row r="101" customFormat="false" ht="15" hidden="false" customHeight="false" outlineLevel="0" collapsed="false">
      <c r="A101" s="3" t="s">
        <v>358</v>
      </c>
      <c r="B101" s="3" t="s">
        <v>359</v>
      </c>
      <c r="C101" s="9" t="n">
        <v>2.72</v>
      </c>
      <c r="D101" s="3" t="s">
        <v>360</v>
      </c>
      <c r="E101" s="10" t="n">
        <v>1.85</v>
      </c>
      <c r="F101" s="10" t="n">
        <v>2.72</v>
      </c>
      <c r="G101" s="3" t="s">
        <v>27</v>
      </c>
      <c r="H101" s="3" t="s">
        <v>150</v>
      </c>
      <c r="I101" s="3" t="s">
        <v>361</v>
      </c>
      <c r="J101" s="11" t="s">
        <v>362</v>
      </c>
    </row>
    <row r="102" customFormat="false" ht="15" hidden="false" customHeight="false" outlineLevel="0" collapsed="false">
      <c r="A102" s="3" t="s">
        <v>363</v>
      </c>
      <c r="B102" s="3" t="s">
        <v>364</v>
      </c>
      <c r="C102" s="19" t="n">
        <v>12</v>
      </c>
      <c r="D102" s="3" t="s">
        <v>365</v>
      </c>
      <c r="E102" s="17" t="n">
        <v>12</v>
      </c>
      <c r="F102" s="17" t="n">
        <v>15</v>
      </c>
      <c r="G102" s="3" t="s">
        <v>27</v>
      </c>
      <c r="H102" s="3" t="s">
        <v>193</v>
      </c>
      <c r="I102" s="3" t="s">
        <v>366</v>
      </c>
      <c r="J102" s="11" t="s">
        <v>367</v>
      </c>
    </row>
    <row r="103" customFormat="false" ht="15" hidden="false" customHeight="false" outlineLevel="0" collapsed="false">
      <c r="A103" s="3" t="s">
        <v>368</v>
      </c>
      <c r="B103" s="3" t="s">
        <v>369</v>
      </c>
      <c r="C103" s="16" t="n">
        <v>10</v>
      </c>
      <c r="D103" s="3" t="s">
        <v>370</v>
      </c>
      <c r="G103" s="3" t="s">
        <v>120</v>
      </c>
      <c r="H103" s="3"/>
    </row>
    <row r="104" customFormat="false" ht="15" hidden="false" customHeight="false" outlineLevel="0" collapsed="false">
      <c r="A104" s="3" t="s">
        <v>371</v>
      </c>
      <c r="B104" s="3" t="s">
        <v>372</v>
      </c>
      <c r="C104" s="16" t="n">
        <v>2000</v>
      </c>
      <c r="D104" s="3" t="s">
        <v>370</v>
      </c>
      <c r="G104" s="3" t="s">
        <v>120</v>
      </c>
      <c r="H104" s="3"/>
    </row>
    <row r="105" customFormat="false" ht="15" hidden="false" customHeight="false" outlineLevel="0" collapsed="false">
      <c r="A105" s="3" t="s">
        <v>373</v>
      </c>
      <c r="B105" s="3" t="s">
        <v>374</v>
      </c>
      <c r="C105" s="16" t="n">
        <v>10</v>
      </c>
      <c r="D105" s="3" t="s">
        <v>360</v>
      </c>
      <c r="G105" s="3" t="s">
        <v>120</v>
      </c>
      <c r="H105" s="3"/>
    </row>
    <row r="106" customFormat="false" ht="15" hidden="false" customHeight="false" outlineLevel="0" collapsed="false">
      <c r="A106" s="3" t="s">
        <v>375</v>
      </c>
      <c r="B106" s="3" t="s">
        <v>376</v>
      </c>
      <c r="C106" s="16" t="n">
        <v>99</v>
      </c>
      <c r="D106" s="3" t="s">
        <v>377</v>
      </c>
      <c r="E106" s="17" t="n">
        <v>84</v>
      </c>
      <c r="F106" s="17" t="n">
        <v>99</v>
      </c>
      <c r="G106" s="3" t="s">
        <v>27</v>
      </c>
      <c r="H106" s="3" t="s">
        <v>150</v>
      </c>
      <c r="I106" s="3" t="s">
        <v>378</v>
      </c>
      <c r="J106" s="11" t="s">
        <v>379</v>
      </c>
    </row>
    <row r="107" customFormat="false" ht="15" hidden="false" customHeight="false" outlineLevel="0" collapsed="false">
      <c r="A107" s="3" t="s">
        <v>380</v>
      </c>
      <c r="B107" s="3" t="s">
        <v>381</v>
      </c>
      <c r="C107" s="16" t="n">
        <v>6000</v>
      </c>
      <c r="D107" s="3" t="s">
        <v>382</v>
      </c>
      <c r="G107" s="3" t="s">
        <v>120</v>
      </c>
      <c r="H107" s="3"/>
    </row>
    <row r="108" customFormat="false" ht="15" hidden="false" customHeight="false" outlineLevel="0" collapsed="false">
      <c r="A108" s="3" t="s">
        <v>383</v>
      </c>
      <c r="B108" s="3" t="s">
        <v>384</v>
      </c>
      <c r="C108" s="16" t="n">
        <v>32500</v>
      </c>
      <c r="D108" s="3" t="s">
        <v>184</v>
      </c>
      <c r="E108" s="17" t="n">
        <v>20000</v>
      </c>
      <c r="F108" s="17" t="n">
        <v>45000</v>
      </c>
      <c r="G108" s="3" t="s">
        <v>27</v>
      </c>
      <c r="H108" s="3" t="s">
        <v>43</v>
      </c>
      <c r="I108" s="3" t="s">
        <v>385</v>
      </c>
      <c r="J108" s="11" t="s">
        <v>386</v>
      </c>
    </row>
    <row r="109" customFormat="false" ht="15" hidden="false" customHeight="false" outlineLevel="0" collapsed="false">
      <c r="A109" s="3" t="s">
        <v>387</v>
      </c>
      <c r="B109" s="3" t="s">
        <v>388</v>
      </c>
      <c r="C109" s="16" t="n">
        <v>2</v>
      </c>
      <c r="D109" s="3" t="s">
        <v>389</v>
      </c>
      <c r="G109" s="3" t="s">
        <v>120</v>
      </c>
      <c r="H109" s="3"/>
    </row>
    <row r="110" customFormat="false" ht="15" hidden="false" customHeight="false" outlineLevel="0" collapsed="false">
      <c r="A110" s="3" t="s">
        <v>390</v>
      </c>
      <c r="B110" s="3" t="s">
        <v>391</v>
      </c>
      <c r="C110" s="18" t="n">
        <v>80.07</v>
      </c>
      <c r="D110" s="3" t="s">
        <v>260</v>
      </c>
      <c r="E110" s="5" t="n">
        <v>78.65</v>
      </c>
      <c r="F110" s="5" t="n">
        <v>81.49</v>
      </c>
      <c r="G110" s="3" t="s">
        <v>27</v>
      </c>
      <c r="H110" s="3" t="s">
        <v>43</v>
      </c>
      <c r="I110" s="3" t="s">
        <v>392</v>
      </c>
      <c r="J110" s="11" t="s">
        <v>393</v>
      </c>
    </row>
    <row r="111" customFormat="false" ht="15" hidden="false" customHeight="false" outlineLevel="0" collapsed="false">
      <c r="A111" s="3" t="s">
        <v>394</v>
      </c>
      <c r="B111" s="3" t="s">
        <v>395</v>
      </c>
      <c r="C111" s="16" t="n">
        <v>3</v>
      </c>
      <c r="D111" s="3" t="s">
        <v>396</v>
      </c>
      <c r="G111" s="3" t="s">
        <v>120</v>
      </c>
      <c r="H111" s="3"/>
    </row>
    <row r="112" customFormat="false" ht="15" hidden="false" customHeight="false" outlineLevel="0" collapsed="false">
      <c r="A112" s="6" t="s">
        <v>397</v>
      </c>
    </row>
    <row r="113" customFormat="false" ht="15" hidden="false" customHeight="false" outlineLevel="0" collapsed="false">
      <c r="A113" s="3" t="s">
        <v>398</v>
      </c>
      <c r="B113" s="3" t="s">
        <v>399</v>
      </c>
      <c r="C113" s="16" t="n">
        <v>20</v>
      </c>
      <c r="D113" s="3" t="s">
        <v>400</v>
      </c>
      <c r="G113" s="3" t="s">
        <v>120</v>
      </c>
      <c r="H113" s="3"/>
    </row>
    <row r="114" customFormat="false" ht="15" hidden="false" customHeight="false" outlineLevel="0" collapsed="false">
      <c r="A114" s="3" t="s">
        <v>401</v>
      </c>
      <c r="B114" s="3" t="s">
        <v>402</v>
      </c>
      <c r="C114" s="16" t="n">
        <v>20</v>
      </c>
      <c r="D114" s="3" t="s">
        <v>400</v>
      </c>
      <c r="G114" s="3" t="s">
        <v>120</v>
      </c>
      <c r="H114" s="3"/>
    </row>
    <row r="115" customFormat="false" ht="15" hidden="false" customHeight="false" outlineLevel="0" collapsed="false">
      <c r="A115" s="3" t="s">
        <v>403</v>
      </c>
      <c r="B115" s="3" t="s">
        <v>404</v>
      </c>
      <c r="C115" s="16" t="n">
        <v>3</v>
      </c>
      <c r="D115" s="3" t="s">
        <v>400</v>
      </c>
      <c r="G115" s="3" t="s">
        <v>120</v>
      </c>
      <c r="H115" s="3"/>
    </row>
    <row r="116" customFormat="false" ht="15" hidden="false" customHeight="false" outlineLevel="0" collapsed="false">
      <c r="A116" s="3" t="s">
        <v>405</v>
      </c>
      <c r="B116" s="3" t="s">
        <v>406</v>
      </c>
      <c r="C116" s="16" t="n">
        <v>10</v>
      </c>
      <c r="D116" s="3" t="s">
        <v>400</v>
      </c>
      <c r="G116" s="3" t="s">
        <v>120</v>
      </c>
      <c r="H116" s="3"/>
    </row>
    <row r="117" customFormat="false" ht="15" hidden="false" customHeight="false" outlineLevel="0" collapsed="false">
      <c r="A117" s="3" t="s">
        <v>407</v>
      </c>
      <c r="B117" s="3" t="s">
        <v>408</v>
      </c>
      <c r="C117" s="16" t="n">
        <v>5</v>
      </c>
      <c r="D117" s="3" t="s">
        <v>400</v>
      </c>
      <c r="G117" s="3" t="s">
        <v>120</v>
      </c>
      <c r="H117" s="3"/>
    </row>
    <row r="118" customFormat="false" ht="15" hidden="false" customHeight="false" outlineLevel="0" collapsed="false">
      <c r="A118" s="3" t="s">
        <v>409</v>
      </c>
      <c r="B118" s="3" t="s">
        <v>410</v>
      </c>
      <c r="C118" s="16" t="n">
        <v>5</v>
      </c>
      <c r="D118" s="3" t="s">
        <v>400</v>
      </c>
      <c r="G118" s="3" t="s">
        <v>120</v>
      </c>
      <c r="H118" s="3"/>
    </row>
    <row r="119" customFormat="false" ht="15" hidden="false" customHeight="false" outlineLevel="0" collapsed="false">
      <c r="A119" s="3" t="s">
        <v>411</v>
      </c>
      <c r="B119" s="3" t="s">
        <v>412</v>
      </c>
      <c r="C119" s="16" t="n">
        <v>3</v>
      </c>
      <c r="D119" s="3" t="s">
        <v>400</v>
      </c>
      <c r="G119" s="3" t="s">
        <v>120</v>
      </c>
      <c r="H119" s="3"/>
    </row>
    <row r="120" customFormat="false" ht="15" hidden="false" customHeight="false" outlineLevel="0" collapsed="false">
      <c r="A120" s="3" t="s">
        <v>413</v>
      </c>
      <c r="B120" s="3" t="s">
        <v>414</v>
      </c>
      <c r="C120" s="16" t="n">
        <v>5</v>
      </c>
      <c r="D120" s="3" t="s">
        <v>400</v>
      </c>
      <c r="G120" s="3" t="s">
        <v>120</v>
      </c>
      <c r="H120" s="3"/>
    </row>
    <row r="121" customFormat="false" ht="15" hidden="false" customHeight="false" outlineLevel="0" collapsed="false">
      <c r="A121" s="3" t="s">
        <v>415</v>
      </c>
      <c r="B121" s="3" t="s">
        <v>416</v>
      </c>
      <c r="C121" s="16" t="n">
        <v>5</v>
      </c>
      <c r="D121" s="3" t="s">
        <v>400</v>
      </c>
      <c r="G121" s="3" t="s">
        <v>120</v>
      </c>
      <c r="H121" s="3"/>
    </row>
    <row r="122" customFormat="false" ht="15" hidden="false" customHeight="false" outlineLevel="0" collapsed="false">
      <c r="A122" s="6" t="s">
        <v>417</v>
      </c>
    </row>
    <row r="123" customFormat="false" ht="15" hidden="false" customHeight="false" outlineLevel="0" collapsed="false">
      <c r="A123" s="3" t="s">
        <v>418</v>
      </c>
      <c r="B123" s="3" t="s">
        <v>419</v>
      </c>
      <c r="C123" s="20" t="n">
        <v>0.2</v>
      </c>
      <c r="D123" s="3" t="s">
        <v>37</v>
      </c>
      <c r="G123" s="3" t="s">
        <v>120</v>
      </c>
      <c r="H123" s="3"/>
    </row>
    <row r="124" customFormat="false" ht="15" hidden="false" customHeight="false" outlineLevel="0" collapsed="false">
      <c r="A124" s="3" t="s">
        <v>420</v>
      </c>
      <c r="B124" s="3" t="s">
        <v>421</v>
      </c>
      <c r="C124" s="16" t="n">
        <v>6</v>
      </c>
      <c r="D124" s="3" t="s">
        <v>422</v>
      </c>
      <c r="G124" s="3" t="s">
        <v>120</v>
      </c>
      <c r="H124" s="3"/>
    </row>
    <row r="125" customFormat="false" ht="15" hidden="false" customHeight="false" outlineLevel="0" collapsed="false">
      <c r="A125" s="3" t="s">
        <v>423</v>
      </c>
      <c r="B125" s="3" t="s">
        <v>424</v>
      </c>
      <c r="C125" s="20" t="n">
        <v>0.7</v>
      </c>
      <c r="D125" s="3" t="s">
        <v>37</v>
      </c>
      <c r="G125" s="3" t="s">
        <v>120</v>
      </c>
      <c r="H125" s="3"/>
    </row>
    <row r="126" customFormat="false" ht="15" hidden="false" customHeight="false" outlineLevel="0" collapsed="false">
      <c r="A126" s="3" t="s">
        <v>425</v>
      </c>
      <c r="B126" s="3" t="s">
        <v>426</v>
      </c>
      <c r="C126" s="16" t="n">
        <v>22</v>
      </c>
      <c r="D126" s="3" t="s">
        <v>179</v>
      </c>
      <c r="G126" s="3" t="s">
        <v>120</v>
      </c>
      <c r="H126" s="3"/>
    </row>
    <row r="127" customFormat="false" ht="15" hidden="false" customHeight="false" outlineLevel="0" collapsed="false">
      <c r="A127" s="3" t="s">
        <v>427</v>
      </c>
      <c r="B127" s="3" t="s">
        <v>428</v>
      </c>
      <c r="C127" s="16" t="n">
        <v>8</v>
      </c>
      <c r="D127" s="3" t="s">
        <v>429</v>
      </c>
      <c r="G127" s="3" t="s">
        <v>120</v>
      </c>
      <c r="H127" s="3"/>
    </row>
    <row r="128" customFormat="false" ht="15" hidden="false" customHeight="false" outlineLevel="0" collapsed="false">
      <c r="A128" s="3" t="s">
        <v>430</v>
      </c>
      <c r="B128" s="3" t="s">
        <v>431</v>
      </c>
      <c r="C128" s="16" t="n">
        <v>3</v>
      </c>
      <c r="D128" s="3" t="s">
        <v>429</v>
      </c>
      <c r="G128" s="3" t="s">
        <v>120</v>
      </c>
      <c r="H128" s="3"/>
    </row>
    <row r="129" customFormat="false" ht="15" hidden="false" customHeight="false" outlineLevel="0" collapsed="false">
      <c r="A129" s="3" t="s">
        <v>432</v>
      </c>
      <c r="B129" s="3" t="s">
        <v>433</v>
      </c>
      <c r="C129" s="12" t="n">
        <v>0.25</v>
      </c>
      <c r="D129" s="3" t="s">
        <v>37</v>
      </c>
      <c r="G129" s="3" t="s">
        <v>120</v>
      </c>
      <c r="H129" s="3"/>
    </row>
    <row r="130" customFormat="false" ht="15" hidden="false" customHeight="false" outlineLevel="0" collapsed="false">
      <c r="A130" s="3" t="s">
        <v>434</v>
      </c>
      <c r="B130" s="3" t="s">
        <v>435</v>
      </c>
      <c r="C130" s="16" t="n">
        <v>5000</v>
      </c>
      <c r="D130" s="3" t="s">
        <v>436</v>
      </c>
      <c r="E130" s="17" t="n">
        <v>5000</v>
      </c>
      <c r="F130" s="17" t="n">
        <v>8000</v>
      </c>
      <c r="G130" s="3" t="s">
        <v>27</v>
      </c>
      <c r="H130" s="3" t="s">
        <v>193</v>
      </c>
      <c r="I130" s="3" t="s">
        <v>437</v>
      </c>
      <c r="J130" s="11" t="s">
        <v>438</v>
      </c>
    </row>
    <row r="131" customFormat="false" ht="15" hidden="false" customHeight="false" outlineLevel="0" collapsed="false">
      <c r="A131" s="3" t="s">
        <v>439</v>
      </c>
      <c r="B131" s="3" t="s">
        <v>440</v>
      </c>
      <c r="C131" s="16" t="n">
        <v>10000</v>
      </c>
      <c r="D131" s="3" t="s">
        <v>436</v>
      </c>
      <c r="E131" s="17" t="n">
        <v>10000</v>
      </c>
      <c r="F131" s="17" t="n">
        <v>15000</v>
      </c>
      <c r="G131" s="3" t="s">
        <v>27</v>
      </c>
      <c r="H131" s="3" t="s">
        <v>193</v>
      </c>
      <c r="I131" s="3" t="s">
        <v>437</v>
      </c>
      <c r="J131" s="11" t="s">
        <v>438</v>
      </c>
    </row>
    <row r="132" customFormat="false" ht="15" hidden="false" customHeight="false" outlineLevel="0" collapsed="false">
      <c r="A132" s="3" t="s">
        <v>441</v>
      </c>
      <c r="B132" s="3" t="s">
        <v>442</v>
      </c>
      <c r="C132" s="16" t="n">
        <v>15000</v>
      </c>
      <c r="D132" s="3" t="s">
        <v>443</v>
      </c>
      <c r="E132" s="17" t="n">
        <v>15000</v>
      </c>
      <c r="F132" s="17" t="n">
        <v>25000</v>
      </c>
      <c r="G132" s="3" t="s">
        <v>27</v>
      </c>
      <c r="H132" s="3" t="s">
        <v>193</v>
      </c>
      <c r="I132" s="3" t="s">
        <v>444</v>
      </c>
      <c r="J132" s="11" t="s">
        <v>438</v>
      </c>
    </row>
    <row r="133" customFormat="false" ht="15" hidden="false" customHeight="false" outlineLevel="0" collapsed="false">
      <c r="A133" s="3" t="s">
        <v>445</v>
      </c>
      <c r="B133" s="3" t="s">
        <v>446</v>
      </c>
      <c r="C133" s="16" t="n">
        <v>18500</v>
      </c>
      <c r="D133" s="3" t="s">
        <v>2</v>
      </c>
      <c r="E133" s="17" t="n">
        <v>18500</v>
      </c>
      <c r="F133" s="17" t="n">
        <v>18500</v>
      </c>
      <c r="G133" s="3" t="s">
        <v>27</v>
      </c>
      <c r="H133" s="3"/>
      <c r="I133" s="3" t="s">
        <v>447</v>
      </c>
      <c r="J133" s="11" t="s">
        <v>448</v>
      </c>
    </row>
    <row r="134" customFormat="false" ht="15" hidden="false" customHeight="false" outlineLevel="0" collapsed="false">
      <c r="A134" s="3" t="s">
        <v>449</v>
      </c>
      <c r="B134" s="3" t="s">
        <v>450</v>
      </c>
      <c r="C134" s="12" t="n">
        <v>0.016</v>
      </c>
      <c r="D134" s="3" t="s">
        <v>37</v>
      </c>
      <c r="E134" s="13" t="n">
        <v>0.012</v>
      </c>
      <c r="F134" s="13" t="n">
        <v>0.02</v>
      </c>
      <c r="G134" s="3" t="s">
        <v>27</v>
      </c>
      <c r="H134" s="3" t="s">
        <v>43</v>
      </c>
      <c r="I134" s="3" t="s">
        <v>451</v>
      </c>
      <c r="J134" s="11" t="s">
        <v>452</v>
      </c>
    </row>
    <row r="135" customFormat="false" ht="15" hidden="false" customHeight="false" outlineLevel="0" collapsed="false">
      <c r="A135" s="3" t="s">
        <v>453</v>
      </c>
      <c r="B135" s="3" t="s">
        <v>454</v>
      </c>
      <c r="C135" s="20" t="n">
        <v>0.15</v>
      </c>
      <c r="D135" s="3" t="s">
        <v>37</v>
      </c>
      <c r="E135" s="13" t="n">
        <v>0.12</v>
      </c>
      <c r="F135" s="13" t="n">
        <v>0.22</v>
      </c>
      <c r="G135" s="3" t="s">
        <v>27</v>
      </c>
      <c r="H135" s="3" t="s">
        <v>455</v>
      </c>
      <c r="I135" s="3" t="s">
        <v>456</v>
      </c>
      <c r="J135" s="11" t="s">
        <v>457</v>
      </c>
    </row>
    <row r="136" customFormat="false" ht="15" hidden="false" customHeight="false" outlineLevel="0" collapsed="false">
      <c r="A136" s="3" t="s">
        <v>458</v>
      </c>
      <c r="B136" s="3" t="s">
        <v>459</v>
      </c>
      <c r="C136" s="16" t="n">
        <v>40</v>
      </c>
      <c r="D136" s="3" t="s">
        <v>460</v>
      </c>
      <c r="G136" s="3" t="s">
        <v>120</v>
      </c>
      <c r="H136" s="3"/>
    </row>
    <row r="137" customFormat="false" ht="15" hidden="false" customHeight="false" outlineLevel="0" collapsed="false">
      <c r="A137" s="3" t="s">
        <v>461</v>
      </c>
      <c r="B137" s="3" t="s">
        <v>462</v>
      </c>
      <c r="C137" s="19" t="n">
        <v>2500</v>
      </c>
      <c r="D137" s="3" t="s">
        <v>2</v>
      </c>
      <c r="G137" s="3" t="s">
        <v>120</v>
      </c>
      <c r="H137" s="3"/>
    </row>
    <row r="138" customFormat="false" ht="15" hidden="false" customHeight="false" outlineLevel="0" collapsed="false">
      <c r="A138" s="3" t="s">
        <v>463</v>
      </c>
      <c r="B138" s="3" t="s">
        <v>464</v>
      </c>
      <c r="C138" s="19" t="n">
        <v>10000</v>
      </c>
      <c r="D138" s="3" t="s">
        <v>2</v>
      </c>
      <c r="G138" s="3" t="s">
        <v>120</v>
      </c>
      <c r="H13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20"/>
    <col collapsed="false" customWidth="true" hidden="false" outlineLevel="0" max="8" min="8" style="0" width="18"/>
  </cols>
  <sheetData>
    <row r="1" customFormat="false" ht="17.35" hidden="false" customHeight="false" outlineLevel="0" collapsed="false">
      <c r="A1" s="1" t="s">
        <v>465</v>
      </c>
    </row>
    <row r="3" customFormat="false" ht="15" hidden="false" customHeight="false" outlineLevel="0" collapsed="false">
      <c r="A3" s="2" t="s">
        <v>466</v>
      </c>
      <c r="B3" s="2" t="s">
        <v>467</v>
      </c>
      <c r="C3" s="2" t="s">
        <v>468</v>
      </c>
      <c r="D3" s="2" t="s">
        <v>469</v>
      </c>
      <c r="E3" s="2" t="s">
        <v>470</v>
      </c>
      <c r="F3" s="2" t="s">
        <v>471</v>
      </c>
      <c r="G3" s="2" t="s">
        <v>472</v>
      </c>
      <c r="H3" s="2" t="s">
        <v>473</v>
      </c>
    </row>
    <row r="4" customFormat="false" ht="15" hidden="false" customHeight="false" outlineLevel="0" collapsed="false">
      <c r="A4" s="3" t="s">
        <v>474</v>
      </c>
      <c r="B4" s="3" t="s">
        <v>475</v>
      </c>
      <c r="C4" s="21" t="n">
        <v>1</v>
      </c>
      <c r="D4" s="4" t="n">
        <f aca="false">Hypothèses!$C$54</f>
        <v>1000000</v>
      </c>
      <c r="E4" s="17" t="n">
        <f aca="false">MIN(D4,Hypothèses!$C$45)*Hypothèses!$C$43+D4*(Hypothèses!$C$44+Hypothèses!$C$46)</f>
        <v>134000</v>
      </c>
      <c r="F4" s="4" t="n">
        <f aca="false">Hypothèses!$C$49</f>
        <v>22</v>
      </c>
      <c r="G4" s="17" t="n">
        <f aca="false">(D4+E4)*Hypothèses!$C$47/12+Hypothèses!$C$48*F4</f>
        <v>1257100</v>
      </c>
      <c r="H4" s="17" t="n">
        <f aca="false">C4*G4</f>
        <v>1257100</v>
      </c>
    </row>
    <row r="5" customFormat="false" ht="15" hidden="false" customHeight="false" outlineLevel="0" collapsed="false">
      <c r="A5" s="3" t="s">
        <v>476</v>
      </c>
      <c r="B5" s="3" t="s">
        <v>477</v>
      </c>
      <c r="C5" s="21" t="n">
        <v>1</v>
      </c>
      <c r="D5" s="4" t="n">
        <f aca="false">Hypothèses!$C$55</f>
        <v>575000</v>
      </c>
      <c r="E5" s="17" t="n">
        <f aca="false">MIN(D5,Hypothèses!$C$45)*Hypothèses!$C$43+D5*(Hypothèses!$C$44+Hypothèses!$C$46)</f>
        <v>93150</v>
      </c>
      <c r="F5" s="4" t="n">
        <f aca="false">Hypothèses!$C$50</f>
        <v>26</v>
      </c>
      <c r="G5" s="17" t="n">
        <f aca="false">(D5+E5)*Hypothèses!$C$47/12+Hypothèses!$C$48*F5</f>
        <v>757629.166666667</v>
      </c>
      <c r="H5" s="17" t="n">
        <f aca="false">C5*G5</f>
        <v>757629.166666667</v>
      </c>
    </row>
    <row r="6" customFormat="false" ht="15" hidden="false" customHeight="false" outlineLevel="0" collapsed="false">
      <c r="A6" s="3" t="s">
        <v>478</v>
      </c>
      <c r="B6" s="3" t="s">
        <v>477</v>
      </c>
      <c r="C6" s="21" t="n">
        <v>4</v>
      </c>
      <c r="D6" s="4" t="n">
        <f aca="false">Hypothèses!$C$56</f>
        <v>100000</v>
      </c>
      <c r="E6" s="17" t="n">
        <f aca="false">MIN(D6,Hypothèses!$C$45)*Hypothèses!$C$43+D6*(Hypothèses!$C$44+Hypothèses!$C$46)</f>
        <v>16200</v>
      </c>
      <c r="F6" s="4" t="n">
        <f aca="false">Hypothèses!$C$50</f>
        <v>26</v>
      </c>
      <c r="G6" s="17" t="n">
        <f aca="false">(D6+E6)*Hypothèses!$C$47/12+Hypothèses!$C$48*F6</f>
        <v>159683.333333333</v>
      </c>
      <c r="H6" s="17" t="n">
        <f aca="false">C6*G6</f>
        <v>638733.333333333</v>
      </c>
    </row>
    <row r="7" customFormat="false" ht="15" hidden="false" customHeight="false" outlineLevel="0" collapsed="false">
      <c r="A7" s="3" t="s">
        <v>479</v>
      </c>
      <c r="B7" s="3" t="s">
        <v>477</v>
      </c>
      <c r="C7" s="21" t="n">
        <v>1</v>
      </c>
      <c r="D7" s="4" t="n">
        <f aca="false">Hypothèses!$C$57</f>
        <v>167500</v>
      </c>
      <c r="E7" s="17" t="n">
        <f aca="false">MIN(D7,Hypothèses!$C$45)*Hypothèses!$C$43+D7*(Hypothèses!$C$44+Hypothèses!$C$46)</f>
        <v>27135</v>
      </c>
      <c r="F7" s="4" t="n">
        <f aca="false">Hypothèses!$C$50</f>
        <v>26</v>
      </c>
      <c r="G7" s="17" t="n">
        <f aca="false">(D7+E7)*Hypothèses!$C$47/12+Hypothèses!$C$48*F7</f>
        <v>244654.583333333</v>
      </c>
      <c r="H7" s="17" t="n">
        <f aca="false">C7*G7</f>
        <v>244654.583333333</v>
      </c>
    </row>
    <row r="8" customFormat="false" ht="15" hidden="false" customHeight="false" outlineLevel="0" collapsed="false">
      <c r="A8" s="3" t="s">
        <v>480</v>
      </c>
      <c r="B8" s="3" t="s">
        <v>477</v>
      </c>
      <c r="C8" s="21" t="n">
        <v>8</v>
      </c>
      <c r="D8" s="4" t="n">
        <f aca="false">Hypothèses!$C$58</f>
        <v>80000</v>
      </c>
      <c r="E8" s="17" t="n">
        <f aca="false">MIN(D8,Hypothèses!$C$45)*Hypothèses!$C$43+D8*(Hypothèses!$C$44+Hypothèses!$C$46)</f>
        <v>12960</v>
      </c>
      <c r="F8" s="4" t="n">
        <f aca="false">Hypothèses!$C$50</f>
        <v>26</v>
      </c>
      <c r="G8" s="17" t="n">
        <f aca="false">(D8+E8)*Hypothèses!$C$47/12+Hypothèses!$C$48*F8</f>
        <v>134506.666666667</v>
      </c>
      <c r="H8" s="17" t="n">
        <f aca="false">C8*G8</f>
        <v>1076053.33333333</v>
      </c>
    </row>
    <row r="9" customFormat="false" ht="15" hidden="false" customHeight="false" outlineLevel="0" collapsed="false">
      <c r="A9" s="3" t="s">
        <v>481</v>
      </c>
      <c r="B9" s="3" t="s">
        <v>477</v>
      </c>
      <c r="C9" s="21" t="n">
        <v>1</v>
      </c>
      <c r="D9" s="4" t="n">
        <f aca="false">Hypothèses!$C$59</f>
        <v>105000</v>
      </c>
      <c r="E9" s="17" t="n">
        <f aca="false">MIN(D9,Hypothèses!$C$45)*Hypothèses!$C$43+D9*(Hypothèses!$C$44+Hypothèses!$C$46)</f>
        <v>17010</v>
      </c>
      <c r="F9" s="4" t="n">
        <f aca="false">Hypothèses!$C$50</f>
        <v>26</v>
      </c>
      <c r="G9" s="17" t="n">
        <f aca="false">(D9+E9)*Hypothèses!$C$47/12+Hypothèses!$C$48*F9</f>
        <v>165977.5</v>
      </c>
      <c r="H9" s="17" t="n">
        <f aca="false">C9*G9</f>
        <v>165977.5</v>
      </c>
    </row>
    <row r="10" customFormat="false" ht="15" hidden="false" customHeight="false" outlineLevel="0" collapsed="false">
      <c r="A10" s="3" t="s">
        <v>482</v>
      </c>
      <c r="B10" s="3" t="s">
        <v>483</v>
      </c>
      <c r="C10" s="21" t="n">
        <v>1</v>
      </c>
      <c r="D10" s="4" t="n">
        <f aca="false">Hypothèses!$C$60</f>
        <v>95000</v>
      </c>
      <c r="E10" s="17" t="n">
        <f aca="false">MIN(D10,Hypothèses!$C$45)*Hypothèses!$C$43+D10*(Hypothèses!$C$44+Hypothèses!$C$46)</f>
        <v>15390</v>
      </c>
      <c r="F10" s="4" t="n">
        <f aca="false">Hypothèses!$C$49</f>
        <v>22</v>
      </c>
      <c r="G10" s="17" t="n">
        <f aca="false">(D10+E10)*Hypothèses!$C$47/12+Hypothèses!$C$48*F10</f>
        <v>148189.166666667</v>
      </c>
      <c r="H10" s="17" t="n">
        <f aca="false">C10*G10</f>
        <v>148189.166666667</v>
      </c>
    </row>
    <row r="11" customFormat="false" ht="15" hidden="false" customHeight="false" outlineLevel="0" collapsed="false">
      <c r="A11" s="3" t="s">
        <v>484</v>
      </c>
      <c r="B11" s="3" t="s">
        <v>483</v>
      </c>
      <c r="C11" s="21" t="n">
        <v>2</v>
      </c>
      <c r="D11" s="4" t="n">
        <f aca="false">Hypothèses!$C$71</f>
        <v>95000</v>
      </c>
      <c r="E11" s="17" t="n">
        <f aca="false">MIN(D11,Hypothèses!$C$45)*Hypothèses!$C$43+D11*(Hypothèses!$C$44+Hypothèses!$C$46)</f>
        <v>15390</v>
      </c>
      <c r="F11" s="4" t="n">
        <f aca="false">Hypothèses!$C$49</f>
        <v>22</v>
      </c>
      <c r="G11" s="17" t="n">
        <f aca="false">(D11+E11)*Hypothèses!$C$47/12+Hypothèses!$C$48*F11</f>
        <v>148189.166666667</v>
      </c>
      <c r="H11" s="17" t="n">
        <f aca="false">C11*G11</f>
        <v>296378.333333333</v>
      </c>
    </row>
    <row r="12" customFormat="false" ht="15" hidden="false" customHeight="false" outlineLevel="0" collapsed="false">
      <c r="A12" s="3" t="s">
        <v>485</v>
      </c>
      <c r="B12" s="3" t="s">
        <v>483</v>
      </c>
      <c r="C12" s="21" t="n">
        <v>2</v>
      </c>
      <c r="D12" s="4" t="n">
        <f aca="false">Hypothèses!$C$70</f>
        <v>190000</v>
      </c>
      <c r="E12" s="17" t="n">
        <f aca="false">MIN(D12,Hypothèses!$C$45)*Hypothèses!$C$43+D12*(Hypothèses!$C$44+Hypothèses!$C$46)</f>
        <v>30780</v>
      </c>
      <c r="F12" s="4" t="n">
        <f aca="false">Hypothèses!$C$49</f>
        <v>22</v>
      </c>
      <c r="G12" s="17" t="n">
        <f aca="false">(D12+E12)*Hypothèses!$C$47/12+Hypothèses!$C$48*F12</f>
        <v>267778.333333333</v>
      </c>
      <c r="H12" s="17" t="n">
        <f aca="false">C12*G12</f>
        <v>535556.666666667</v>
      </c>
    </row>
    <row r="13" customFormat="false" ht="15" hidden="false" customHeight="false" outlineLevel="0" collapsed="false">
      <c r="A13" s="3" t="s">
        <v>486</v>
      </c>
      <c r="B13" s="3" t="s">
        <v>487</v>
      </c>
      <c r="C13" s="21" t="n">
        <v>1</v>
      </c>
      <c r="D13" s="4" t="n">
        <f aca="false">Hypothèses!$C$62</f>
        <v>237500</v>
      </c>
      <c r="E13" s="17" t="n">
        <f aca="false">MIN(D13,Hypothèses!$C$45)*Hypothèses!$C$43+D13*(Hypothèses!$C$44+Hypothèses!$C$46)</f>
        <v>38475</v>
      </c>
      <c r="F13" s="4" t="n">
        <f aca="false">Hypothèses!$C$49</f>
        <v>22</v>
      </c>
      <c r="G13" s="17" t="n">
        <f aca="false">(D13+E13)*Hypothèses!$C$47/12+Hypothèses!$C$48*F13</f>
        <v>327572.916666667</v>
      </c>
      <c r="H13" s="17" t="n">
        <f aca="false">C13*G13</f>
        <v>327572.916666667</v>
      </c>
    </row>
    <row r="14" customFormat="false" ht="15" hidden="false" customHeight="false" outlineLevel="0" collapsed="false">
      <c r="A14" s="3" t="s">
        <v>488</v>
      </c>
      <c r="B14" s="3" t="s">
        <v>487</v>
      </c>
      <c r="C14" s="21" t="n">
        <v>1</v>
      </c>
      <c r="D14" s="4" t="n">
        <f aca="false">Hypothèses!$C$63</f>
        <v>105000</v>
      </c>
      <c r="E14" s="17" t="n">
        <f aca="false">MIN(D14,Hypothèses!$C$45)*Hypothèses!$C$43+D14*(Hypothèses!$C$44+Hypothèses!$C$46)</f>
        <v>17010</v>
      </c>
      <c r="F14" s="4" t="n">
        <f aca="false">Hypothèses!$C$49</f>
        <v>22</v>
      </c>
      <c r="G14" s="17" t="n">
        <f aca="false">(D14+E14)*Hypothèses!$C$47/12+Hypothèses!$C$48*F14</f>
        <v>160777.5</v>
      </c>
      <c r="H14" s="17" t="n">
        <f aca="false">C14*G14</f>
        <v>160777.5</v>
      </c>
    </row>
    <row r="15" customFormat="false" ht="15" hidden="false" customHeight="false" outlineLevel="0" collapsed="false">
      <c r="A15" s="3" t="s">
        <v>489</v>
      </c>
      <c r="B15" s="3" t="s">
        <v>487</v>
      </c>
      <c r="C15" s="21" t="n">
        <v>1</v>
      </c>
      <c r="D15" s="4" t="n">
        <f aca="false">Hypothèses!$C$64</f>
        <v>237500</v>
      </c>
      <c r="E15" s="17" t="n">
        <f aca="false">MIN(D15,Hypothèses!$C$45)*Hypothèses!$C$43+D15*(Hypothèses!$C$44+Hypothèses!$C$46)</f>
        <v>38475</v>
      </c>
      <c r="F15" s="4" t="n">
        <f aca="false">Hypothèses!$C$49</f>
        <v>22</v>
      </c>
      <c r="G15" s="17" t="n">
        <f aca="false">(D15+E15)*Hypothèses!$C$47/12+Hypothèses!$C$48*F15</f>
        <v>327572.916666667</v>
      </c>
      <c r="H15" s="17" t="n">
        <f aca="false">C15*G15</f>
        <v>327572.916666667</v>
      </c>
    </row>
    <row r="16" customFormat="false" ht="15" hidden="false" customHeight="false" outlineLevel="0" collapsed="false">
      <c r="A16" s="3" t="s">
        <v>490</v>
      </c>
      <c r="B16" s="3" t="s">
        <v>491</v>
      </c>
      <c r="C16" s="21" t="n">
        <v>2</v>
      </c>
      <c r="D16" s="4" t="n">
        <f aca="false">Hypothèses!$C$65</f>
        <v>475000</v>
      </c>
      <c r="E16" s="17" t="n">
        <f aca="false">MIN(D16,Hypothèses!$C$45)*Hypothèses!$C$43+D16*(Hypothèses!$C$44+Hypothèses!$C$46)</f>
        <v>76950</v>
      </c>
      <c r="F16" s="4" t="n">
        <f aca="false">Hypothèses!$C$49</f>
        <v>22</v>
      </c>
      <c r="G16" s="17" t="n">
        <f aca="false">(D16+E16)*Hypothèses!$C$47/12+Hypothèses!$C$48*F16</f>
        <v>626545.833333333</v>
      </c>
      <c r="H16" s="17" t="n">
        <f aca="false">C16*G16</f>
        <v>1253091.66666667</v>
      </c>
    </row>
    <row r="17" customFormat="false" ht="15" hidden="false" customHeight="false" outlineLevel="0" collapsed="false">
      <c r="A17" s="3" t="s">
        <v>492</v>
      </c>
      <c r="B17" s="3" t="s">
        <v>491</v>
      </c>
      <c r="C17" s="21" t="n">
        <v>1</v>
      </c>
      <c r="D17" s="4" t="n">
        <f aca="false">Hypothèses!$C$66</f>
        <v>475000</v>
      </c>
      <c r="E17" s="17" t="n">
        <f aca="false">MIN(D17,Hypothèses!$C$45)*Hypothèses!$C$43+D17*(Hypothèses!$C$44+Hypothèses!$C$46)</f>
        <v>76950</v>
      </c>
      <c r="F17" s="4" t="n">
        <f aca="false">Hypothèses!$C$49</f>
        <v>22</v>
      </c>
      <c r="G17" s="17" t="n">
        <f aca="false">(D17+E17)*Hypothèses!$C$47/12+Hypothèses!$C$48*F17</f>
        <v>626545.833333333</v>
      </c>
      <c r="H17" s="17" t="n">
        <f aca="false">C17*G17</f>
        <v>626545.833333333</v>
      </c>
    </row>
    <row r="18" customFormat="false" ht="15" hidden="false" customHeight="false" outlineLevel="0" collapsed="false">
      <c r="A18" s="3" t="s">
        <v>493</v>
      </c>
      <c r="B18" s="3" t="s">
        <v>491</v>
      </c>
      <c r="C18" s="21" t="n">
        <v>1</v>
      </c>
      <c r="D18" s="4" t="n">
        <f aca="false">Hypothèses!$C$61</f>
        <v>200000</v>
      </c>
      <c r="E18" s="17" t="n">
        <f aca="false">MIN(D18,Hypothèses!$C$45)*Hypothèses!$C$43+D18*(Hypothèses!$C$44+Hypothèses!$C$46)</f>
        <v>32400</v>
      </c>
      <c r="F18" s="4" t="n">
        <f aca="false">Hypothèses!$C$49</f>
        <v>22</v>
      </c>
      <c r="G18" s="17" t="n">
        <f aca="false">(D18+E18)*Hypothèses!$C$47/12+Hypothèses!$C$48*F18</f>
        <v>280366.666666667</v>
      </c>
      <c r="H18" s="17" t="n">
        <f aca="false">C18*G18</f>
        <v>280366.666666667</v>
      </c>
    </row>
    <row r="19" customFormat="false" ht="15" hidden="false" customHeight="false" outlineLevel="0" collapsed="false">
      <c r="A19" s="3" t="s">
        <v>494</v>
      </c>
      <c r="B19" s="3" t="s">
        <v>495</v>
      </c>
      <c r="C19" s="21" t="n">
        <v>1</v>
      </c>
      <c r="D19" s="4" t="n">
        <f aca="false">Hypothèses!$C$67</f>
        <v>325000</v>
      </c>
      <c r="E19" s="17" t="n">
        <f aca="false">MIN(D19,Hypothèses!$C$45)*Hypothèses!$C$43+D19*(Hypothèses!$C$44+Hypothèses!$C$46)</f>
        <v>52650</v>
      </c>
      <c r="F19" s="4" t="n">
        <f aca="false">Hypothèses!$C$49</f>
        <v>22</v>
      </c>
      <c r="G19" s="17" t="n">
        <f aca="false">(D19+E19)*Hypothèses!$C$47/12+Hypothèses!$C$48*F19</f>
        <v>437720.833333333</v>
      </c>
      <c r="H19" s="17" t="n">
        <f aca="false">C19*G19</f>
        <v>437720.833333333</v>
      </c>
    </row>
    <row r="20" customFormat="false" ht="15" hidden="false" customHeight="false" outlineLevel="0" collapsed="false">
      <c r="A20" s="3" t="s">
        <v>496</v>
      </c>
      <c r="B20" s="3" t="s">
        <v>495</v>
      </c>
      <c r="C20" s="21" t="n">
        <v>1</v>
      </c>
      <c r="D20" s="4" t="n">
        <f aca="false">Hypothèses!$C$68</f>
        <v>205000</v>
      </c>
      <c r="E20" s="17" t="n">
        <f aca="false">MIN(D20,Hypothèses!$C$45)*Hypothèses!$C$43+D20*(Hypothèses!$C$44+Hypothèses!$C$46)</f>
        <v>33210</v>
      </c>
      <c r="F20" s="4" t="n">
        <f aca="false">Hypothèses!$C$49</f>
        <v>22</v>
      </c>
      <c r="G20" s="17" t="n">
        <f aca="false">(D20+E20)*Hypothèses!$C$47/12+Hypothèses!$C$48*F20</f>
        <v>286660.833333333</v>
      </c>
      <c r="H20" s="17" t="n">
        <f aca="false">C20*G20</f>
        <v>286660.833333333</v>
      </c>
    </row>
    <row r="21" customFormat="false" ht="15" hidden="false" customHeight="false" outlineLevel="0" collapsed="false">
      <c r="A21" s="3" t="s">
        <v>497</v>
      </c>
      <c r="B21" s="3" t="s">
        <v>495</v>
      </c>
      <c r="C21" s="21" t="n">
        <v>1</v>
      </c>
      <c r="D21" s="4" t="n">
        <f aca="false">Hypothèses!$C$69</f>
        <v>60000</v>
      </c>
      <c r="E21" s="17" t="n">
        <f aca="false">MIN(D21,Hypothèses!$C$45)*Hypothèses!$C$43+D21*(Hypothèses!$C$44+Hypothèses!$C$46)</f>
        <v>9720</v>
      </c>
      <c r="F21" s="4" t="n">
        <f aca="false">Hypothèses!$C$49</f>
        <v>22</v>
      </c>
      <c r="G21" s="17" t="n">
        <f aca="false">(D21+E21)*Hypothèses!$C$47/12+Hypothèses!$C$48*F21</f>
        <v>104130</v>
      </c>
      <c r="H21" s="17" t="n">
        <f aca="false">C21*G21</f>
        <v>104130</v>
      </c>
    </row>
    <row r="22" customFormat="false" ht="15" hidden="false" customHeight="false" outlineLevel="0" collapsed="false">
      <c r="A22" s="6" t="s">
        <v>498</v>
      </c>
      <c r="C22" s="6" t="n">
        <f aca="false">SUM(C4:C21)</f>
        <v>31</v>
      </c>
      <c r="H22" s="22" t="n">
        <f aca="false">SUM(H4:H21)</f>
        <v>8924711.25</v>
      </c>
    </row>
    <row r="23" customFormat="false" ht="15" hidden="false" customHeight="false" outlineLevel="0" collapsed="false">
      <c r="A23" s="3" t="s">
        <v>499</v>
      </c>
      <c r="C23" s="23" t="n">
        <f aca="false">Hypothèses!$C$52</f>
        <v>4.2</v>
      </c>
      <c r="G23" s="4" t="n">
        <f aca="false">Hypothèses!$C$51</f>
        <v>142500</v>
      </c>
      <c r="H23" s="17" t="n">
        <f aca="false">C23*G23</f>
        <v>598500</v>
      </c>
    </row>
    <row r="25" customFormat="false" ht="23.85" hidden="false" customHeight="false" outlineLevel="0" collapsed="false">
      <c r="A25" s="2" t="s">
        <v>257</v>
      </c>
      <c r="B25" s="2"/>
      <c r="C25" s="2" t="s">
        <v>468</v>
      </c>
      <c r="D25" s="2" t="s">
        <v>500</v>
      </c>
      <c r="E25" s="2" t="s">
        <v>501</v>
      </c>
      <c r="F25" s="2"/>
      <c r="G25" s="2" t="s">
        <v>502</v>
      </c>
      <c r="H25" s="2" t="s">
        <v>503</v>
      </c>
    </row>
    <row r="26" customFormat="false" ht="15" hidden="false" customHeight="false" outlineLevel="0" collapsed="false">
      <c r="A26" s="3" t="s">
        <v>504</v>
      </c>
      <c r="C26" s="21" t="n">
        <v>1</v>
      </c>
      <c r="D26" s="24" t="n">
        <f aca="false">Hypothèses!$C$73*12</f>
        <v>22404.24</v>
      </c>
      <c r="E26" s="5" t="n">
        <f aca="false">D26*Hypothèses!$C$41</f>
        <v>10081.908</v>
      </c>
      <c r="G26" s="5" t="n">
        <f aca="false">C26*(D26+E26)</f>
        <v>32486.148</v>
      </c>
      <c r="H26" s="17" t="n">
        <f aca="false">G26/12*Hypothèses!$C$6</f>
        <v>1775793.015303</v>
      </c>
    </row>
    <row r="27" customFormat="false" ht="15" hidden="false" customHeight="false" outlineLevel="0" collapsed="false">
      <c r="A27" s="3" t="s">
        <v>505</v>
      </c>
      <c r="C27" s="21" t="n">
        <v>1</v>
      </c>
      <c r="D27" s="24" t="n">
        <f aca="false">Hypothèses!$C$74</f>
        <v>49500</v>
      </c>
      <c r="E27" s="5" t="n">
        <f aca="false">D27*Hypothèses!$C$41</f>
        <v>22275</v>
      </c>
      <c r="G27" s="5" t="n">
        <f aca="false">C27*(D27+E27)</f>
        <v>71775</v>
      </c>
      <c r="H27" s="17" t="n">
        <f aca="false">G27/12*Hypothèses!$C$6</f>
        <v>3923442.80625</v>
      </c>
    </row>
    <row r="28" customFormat="false" ht="15" hidden="false" customHeight="false" outlineLevel="0" collapsed="false">
      <c r="A28" s="3" t="s">
        <v>506</v>
      </c>
      <c r="C28" s="21" t="n">
        <v>1</v>
      </c>
      <c r="D28" s="24" t="n">
        <f aca="false">Hypothèses!$C$75</f>
        <v>40000</v>
      </c>
      <c r="E28" s="5" t="n">
        <f aca="false">D28*Hypothèses!$C$41</f>
        <v>18000</v>
      </c>
      <c r="G28" s="5" t="n">
        <f aca="false">C28*(D28+E28)</f>
        <v>58000</v>
      </c>
      <c r="H28" s="17" t="n">
        <f aca="false">G28/12*Hypothèses!$C$6</f>
        <v>3170458.83333333</v>
      </c>
    </row>
    <row r="29" customFormat="false" ht="15" hidden="false" customHeight="false" outlineLevel="0" collapsed="false">
      <c r="A29" s="6" t="s">
        <v>507</v>
      </c>
      <c r="G29" s="25" t="n">
        <f aca="false">SUM(G26:G28)</f>
        <v>162261.148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12"/>
    <col collapsed="false" customWidth="true" hidden="false" outlineLevel="0" max="4" min="4" style="0" width="18"/>
    <col collapsed="false" customWidth="true" hidden="false" outlineLevel="0" max="5" min="5" style="0" width="24"/>
    <col collapsed="false" customWidth="true" hidden="false" outlineLevel="0" max="6" min="6" style="0" width="18"/>
  </cols>
  <sheetData>
    <row r="1" customFormat="false" ht="17.35" hidden="false" customHeight="false" outlineLevel="0" collapsed="false">
      <c r="A1" s="1" t="s">
        <v>508</v>
      </c>
    </row>
    <row r="3" customFormat="false" ht="23.85" hidden="false" customHeight="false" outlineLevel="0" collapsed="false">
      <c r="A3" s="2" t="s">
        <v>509</v>
      </c>
      <c r="B3" s="2" t="s">
        <v>510</v>
      </c>
      <c r="C3" s="2" t="s">
        <v>511</v>
      </c>
      <c r="D3" s="2" t="s">
        <v>512</v>
      </c>
      <c r="E3" s="2" t="s">
        <v>513</v>
      </c>
      <c r="F3" s="2" t="s">
        <v>514</v>
      </c>
    </row>
    <row r="4" customFormat="false" ht="15" hidden="false" customHeight="false" outlineLevel="0" collapsed="false">
      <c r="A4" s="3" t="s">
        <v>515</v>
      </c>
      <c r="B4" s="16" t="n">
        <v>120</v>
      </c>
      <c r="C4" s="21" t="s">
        <v>516</v>
      </c>
      <c r="D4" s="17" t="n">
        <f aca="false">IF(C4="haut",Hypothèses!$C$83,Hypothèses!$C$82)</f>
        <v>150000</v>
      </c>
      <c r="E4" s="17" t="n">
        <f aca="false">B4*D4</f>
        <v>18000000</v>
      </c>
      <c r="F4" s="13" t="n">
        <f aca="false">E4/SUM($E$4:$E$14)</f>
        <v>0.074673304293715</v>
      </c>
    </row>
    <row r="5" customFormat="false" ht="15" hidden="false" customHeight="false" outlineLevel="0" collapsed="false">
      <c r="A5" s="3" t="s">
        <v>517</v>
      </c>
      <c r="B5" s="16" t="n">
        <v>400</v>
      </c>
      <c r="C5" s="21" t="s">
        <v>516</v>
      </c>
      <c r="D5" s="17" t="n">
        <f aca="false">IF(C5="haut",Hypothèses!$C$83,Hypothèses!$C$82)</f>
        <v>150000</v>
      </c>
      <c r="E5" s="17" t="n">
        <f aca="false">B5*D5</f>
        <v>60000000</v>
      </c>
      <c r="F5" s="13" t="n">
        <f aca="false">E5/SUM($E$4:$E$14)</f>
        <v>0.248911014312383</v>
      </c>
    </row>
    <row r="6" customFormat="false" ht="15" hidden="false" customHeight="false" outlineLevel="0" collapsed="false">
      <c r="A6" s="3" t="s">
        <v>518</v>
      </c>
      <c r="B6" s="16" t="n">
        <v>150</v>
      </c>
      <c r="C6" s="21" t="s">
        <v>150</v>
      </c>
      <c r="D6" s="17" t="n">
        <f aca="false">IF(C6="haut",Hypothèses!$C$83,Hypothèses!$C$82)</f>
        <v>365000</v>
      </c>
      <c r="E6" s="17" t="n">
        <f aca="false">B6*D6</f>
        <v>54750000</v>
      </c>
      <c r="F6" s="13" t="n">
        <f aca="false">E6/SUM($E$4:$E$14)</f>
        <v>0.22713130056005</v>
      </c>
    </row>
    <row r="7" customFormat="false" ht="15" hidden="false" customHeight="false" outlineLevel="0" collapsed="false">
      <c r="A7" s="3" t="s">
        <v>519</v>
      </c>
      <c r="B7" s="16" t="n">
        <v>60</v>
      </c>
      <c r="C7" s="21" t="s">
        <v>520</v>
      </c>
      <c r="D7" s="17" t="n">
        <f aca="false">IF(C7="haut",Hypothèses!$C$83,Hypothèses!$C$82)</f>
        <v>150000</v>
      </c>
      <c r="E7" s="17" t="n">
        <f aca="false">B7*D7</f>
        <v>9000000</v>
      </c>
      <c r="F7" s="13" t="n">
        <f aca="false">E7/SUM($E$4:$E$14)</f>
        <v>0.0373366521468575</v>
      </c>
    </row>
    <row r="8" customFormat="false" ht="15" hidden="false" customHeight="false" outlineLevel="0" collapsed="false">
      <c r="A8" s="3" t="s">
        <v>521</v>
      </c>
      <c r="B8" s="16" t="n">
        <v>40</v>
      </c>
      <c r="C8" s="21" t="s">
        <v>520</v>
      </c>
      <c r="D8" s="17" t="n">
        <f aca="false">IF(C8="haut",Hypothèses!$C$83,Hypothèses!$C$82)</f>
        <v>150000</v>
      </c>
      <c r="E8" s="17" t="n">
        <f aca="false">B8*D8</f>
        <v>6000000</v>
      </c>
      <c r="F8" s="13" t="n">
        <f aca="false">E8/SUM($E$4:$E$14)</f>
        <v>0.0248911014312383</v>
      </c>
    </row>
    <row r="9" customFormat="false" ht="15" hidden="false" customHeight="false" outlineLevel="0" collapsed="false">
      <c r="A9" s="3" t="s">
        <v>522</v>
      </c>
      <c r="B9" s="16" t="n">
        <v>160</v>
      </c>
      <c r="C9" s="21" t="s">
        <v>520</v>
      </c>
      <c r="D9" s="17" t="n">
        <f aca="false">IF(C9="haut",Hypothèses!$C$83,Hypothèses!$C$82)</f>
        <v>150000</v>
      </c>
      <c r="E9" s="17" t="n">
        <f aca="false">B9*D9</f>
        <v>24000000</v>
      </c>
      <c r="F9" s="13" t="n">
        <f aca="false">E9/SUM($E$4:$E$14)</f>
        <v>0.0995644057249533</v>
      </c>
    </row>
    <row r="10" customFormat="false" ht="15" hidden="false" customHeight="false" outlineLevel="0" collapsed="false">
      <c r="A10" s="3" t="s">
        <v>523</v>
      </c>
      <c r="B10" s="16" t="n">
        <v>70</v>
      </c>
      <c r="C10" s="21" t="s">
        <v>520</v>
      </c>
      <c r="D10" s="17" t="n">
        <f aca="false">IF(C10="haut",Hypothèses!$C$83,Hypothèses!$C$82)</f>
        <v>150000</v>
      </c>
      <c r="E10" s="17" t="n">
        <f aca="false">B10*D10</f>
        <v>10500000</v>
      </c>
      <c r="F10" s="13" t="n">
        <f aca="false">E10/SUM($E$4:$E$14)</f>
        <v>0.0435594275046671</v>
      </c>
    </row>
    <row r="11" customFormat="false" ht="15" hidden="false" customHeight="false" outlineLevel="0" collapsed="false">
      <c r="A11" s="3" t="s">
        <v>524</v>
      </c>
      <c r="B11" s="16" t="n">
        <v>40</v>
      </c>
      <c r="C11" s="21" t="s">
        <v>520</v>
      </c>
      <c r="D11" s="17" t="n">
        <f aca="false">IF(C11="haut",Hypothèses!$C$83,Hypothèses!$C$82)</f>
        <v>150000</v>
      </c>
      <c r="E11" s="17" t="n">
        <f aca="false">B11*D11</f>
        <v>6000000</v>
      </c>
      <c r="F11" s="13" t="n">
        <f aca="false">E11/SUM($E$4:$E$14)</f>
        <v>0.0248911014312383</v>
      </c>
    </row>
    <row r="12" customFormat="false" ht="15" hidden="false" customHeight="false" outlineLevel="0" collapsed="false">
      <c r="A12" s="3" t="s">
        <v>525</v>
      </c>
      <c r="B12" s="16" t="n">
        <v>50</v>
      </c>
      <c r="C12" s="21" t="s">
        <v>150</v>
      </c>
      <c r="D12" s="17" t="n">
        <f aca="false">IF(C12="haut",Hypothèses!$C$83,Hypothèses!$C$82)</f>
        <v>365000</v>
      </c>
      <c r="E12" s="17" t="n">
        <f aca="false">B12*D12</f>
        <v>18250000</v>
      </c>
      <c r="F12" s="13" t="n">
        <f aca="false">E12/SUM($E$4:$E$14)</f>
        <v>0.0757104335200166</v>
      </c>
    </row>
    <row r="13" customFormat="false" ht="15" hidden="false" customHeight="false" outlineLevel="0" collapsed="false">
      <c r="A13" s="3" t="s">
        <v>526</v>
      </c>
      <c r="B13" s="16" t="n">
        <v>70</v>
      </c>
      <c r="C13" s="21" t="s">
        <v>150</v>
      </c>
      <c r="D13" s="17" t="n">
        <f aca="false">IF(C13="haut",Hypothèses!$C$83,Hypothèses!$C$82)</f>
        <v>365000</v>
      </c>
      <c r="E13" s="17" t="n">
        <f aca="false">B13*D13</f>
        <v>25550000</v>
      </c>
      <c r="F13" s="13" t="n">
        <f aca="false">E13/SUM($E$4:$E$14)</f>
        <v>0.105994606928023</v>
      </c>
    </row>
    <row r="14" customFormat="false" ht="15" hidden="false" customHeight="false" outlineLevel="0" collapsed="false">
      <c r="A14" s="3" t="s">
        <v>527</v>
      </c>
      <c r="B14" s="16" t="n">
        <v>60</v>
      </c>
      <c r="C14" s="21" t="s">
        <v>520</v>
      </c>
      <c r="D14" s="17" t="n">
        <f aca="false">IF(C14="haut",Hypothèses!$C$83,Hypothèses!$C$82)</f>
        <v>150000</v>
      </c>
      <c r="E14" s="17" t="n">
        <f aca="false">B14*D14</f>
        <v>9000000</v>
      </c>
      <c r="F14" s="13" t="n">
        <f aca="false">E14/SUM($E$4:$E$14)</f>
        <v>0.0373366521468575</v>
      </c>
    </row>
    <row r="15" customFormat="false" ht="15" hidden="false" customHeight="false" outlineLevel="0" collapsed="false">
      <c r="A15" s="3" t="s">
        <v>528</v>
      </c>
      <c r="B15" s="17" t="n">
        <f aca="false">ROUND(SUM(B4:B14)*Hypothèses!$C$84,0)</f>
        <v>183</v>
      </c>
      <c r="C15" s="3" t="s">
        <v>520</v>
      </c>
      <c r="D15" s="4" t="n">
        <f aca="false">Hypothèses!$C$82</f>
        <v>150000</v>
      </c>
      <c r="E15" s="17" t="n">
        <f aca="false">B15*D15</f>
        <v>27450000</v>
      </c>
    </row>
    <row r="16" customFormat="false" ht="15" hidden="false" customHeight="false" outlineLevel="0" collapsed="false">
      <c r="A16" s="6" t="s">
        <v>529</v>
      </c>
      <c r="B16" s="22" t="n">
        <f aca="false">SUM(B4:B15)</f>
        <v>1403</v>
      </c>
      <c r="D16" s="26"/>
      <c r="E16" s="22" t="n">
        <f aca="false">SUM(E4:E15)</f>
        <v>268500000</v>
      </c>
    </row>
    <row r="17" customFormat="false" ht="15" hidden="false" customHeight="false" outlineLevel="0" collapsed="false">
      <c r="B17" s="26"/>
      <c r="D17" s="26"/>
      <c r="E17" s="26"/>
    </row>
    <row r="18" customFormat="false" ht="15" hidden="false" customHeight="false" outlineLevel="0" collapsed="false">
      <c r="A18" s="3" t="s">
        <v>530</v>
      </c>
      <c r="B18" s="26"/>
      <c r="D18" s="26"/>
      <c r="E18" s="17" t="n">
        <f aca="false">Hypothèses!$C$85*Hypothèses!$C$86</f>
        <v>93750000</v>
      </c>
    </row>
    <row r="19" customFormat="false" ht="15" hidden="false" customHeight="false" outlineLevel="0" collapsed="false">
      <c r="A19" s="3" t="s">
        <v>531</v>
      </c>
      <c r="B19" s="26"/>
      <c r="D19" s="26"/>
      <c r="E19" s="17" t="n">
        <f aca="false">E18*(Hypothèses!$C$24+Hypothèses!$C$25)</f>
        <v>6562500</v>
      </c>
    </row>
    <row r="20" customFormat="false" ht="15" hidden="false" customHeight="false" outlineLevel="0" collapsed="false">
      <c r="A20" s="3" t="s">
        <v>532</v>
      </c>
      <c r="B20" s="26"/>
      <c r="D20" s="26"/>
      <c r="E20" s="17" t="n">
        <f aca="false">MIN(E18,Hypothèses!$C$29)*Hypothèses!$C$33+MAX(0,MIN(E18,Hypothèses!$C$30)-Hypothèses!$C$29)*Hypothèses!$C$34+MAX(0,MIN(E18,Hypothèses!$C$31)-Hypothèses!$C$30)*Hypothèses!$C$35+MAX(0,MIN(E18,Hypothèses!$C$32)-Hypothèses!$C$31)*Hypothèses!$C$36+MAX(0,E18-Hypothèses!$C$32)*Hypothèses!$C$37</f>
        <v>961250</v>
      </c>
    </row>
    <row r="21" customFormat="false" ht="15" hidden="false" customHeight="false" outlineLevel="0" collapsed="false">
      <c r="A21" s="3" t="s">
        <v>533</v>
      </c>
      <c r="B21" s="26"/>
      <c r="D21" s="26"/>
      <c r="E21" s="17" t="n">
        <f aca="false">E16*Hypothèses!$C$26</f>
        <v>2685000</v>
      </c>
    </row>
    <row r="22" customFormat="false" ht="15" hidden="false" customHeight="false" outlineLevel="0" collapsed="false">
      <c r="A22" s="3" t="s">
        <v>534</v>
      </c>
      <c r="B22" s="26"/>
      <c r="D22" s="26"/>
      <c r="E22" s="17" t="n">
        <f aca="false">4*SQRT(Hypothèses!$C$86)*Hypothèses!$C$87/(1+Hypothèses!$C$12)</f>
        <v>35308343.8155136</v>
      </c>
    </row>
    <row r="23" customFormat="false" ht="15" hidden="false" customHeight="false" outlineLevel="0" collapsed="false">
      <c r="A23" s="3" t="s">
        <v>535</v>
      </c>
      <c r="B23" s="26"/>
      <c r="D23" s="26"/>
      <c r="E23" s="17" t="n">
        <f aca="false">E16</f>
        <v>268500000</v>
      </c>
    </row>
    <row r="24" customFormat="false" ht="15" hidden="false" customHeight="false" outlineLevel="0" collapsed="false">
      <c r="A24" s="6" t="s">
        <v>536</v>
      </c>
      <c r="B24" s="26"/>
      <c r="D24" s="26"/>
      <c r="E24" s="27" t="n">
        <f aca="false">SUM(E18:E23)</f>
        <v>407767093.815514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6"/>
    <col collapsed="false" customWidth="true" hidden="false" outlineLevel="0" max="4" min="4" style="0" width="14"/>
    <col collapsed="false" customWidth="true" hidden="false" outlineLevel="0" max="5" min="5" style="0" width="7"/>
    <col collapsed="false" customWidth="true" hidden="false" outlineLevel="0" max="6" min="6" style="0" width="14"/>
    <col collapsed="false" customWidth="true" hidden="false" outlineLevel="0" max="7" min="7" style="0" width="16"/>
    <col collapsed="false" customWidth="true" hidden="false" outlineLevel="0" max="8" min="8" style="0" width="15"/>
    <col collapsed="false" customWidth="true" hidden="false" outlineLevel="0" max="9" min="9" style="0" width="16"/>
    <col collapsed="false" customWidth="true" hidden="false" outlineLevel="0" max="10" min="10" style="0" width="11"/>
    <col collapsed="false" customWidth="true" hidden="false" outlineLevel="0" max="11" min="11" style="0" width="12"/>
    <col collapsed="false" customWidth="true" hidden="false" outlineLevel="0" max="13" min="12" style="0" width="16"/>
    <col collapsed="false" customWidth="true" hidden="false" outlineLevel="0" max="14" min="14" style="0" width="60"/>
  </cols>
  <sheetData>
    <row r="1" customFormat="false" ht="17.35" hidden="false" customHeight="false" outlineLevel="0" collapsed="false">
      <c r="A1" s="1" t="s">
        <v>537</v>
      </c>
    </row>
    <row r="3" customFormat="false" ht="35.05" hidden="false" customHeight="false" outlineLevel="0" collapsed="false">
      <c r="A3" s="2" t="s">
        <v>538</v>
      </c>
      <c r="B3" s="2" t="s">
        <v>539</v>
      </c>
      <c r="C3" s="2" t="s">
        <v>540</v>
      </c>
      <c r="D3" s="2" t="s">
        <v>541</v>
      </c>
      <c r="E3" s="2" t="s">
        <v>542</v>
      </c>
      <c r="F3" s="2" t="s">
        <v>543</v>
      </c>
      <c r="G3" s="2" t="s">
        <v>544</v>
      </c>
      <c r="H3" s="2" t="s">
        <v>545</v>
      </c>
      <c r="I3" s="2" t="s">
        <v>546</v>
      </c>
      <c r="J3" s="2" t="s">
        <v>547</v>
      </c>
      <c r="K3" s="2" t="s">
        <v>548</v>
      </c>
      <c r="L3" s="2" t="s">
        <v>549</v>
      </c>
      <c r="M3" s="2" t="s">
        <v>550</v>
      </c>
      <c r="N3" s="2" t="s">
        <v>27</v>
      </c>
    </row>
    <row r="4" customFormat="false" ht="15" hidden="false" customHeight="false" outlineLevel="0" collapsed="false">
      <c r="A4" s="3" t="s">
        <v>551</v>
      </c>
      <c r="B4" s="3" t="s">
        <v>552</v>
      </c>
      <c r="C4" s="21" t="n">
        <v>2</v>
      </c>
      <c r="D4" s="18" t="n">
        <v>2124</v>
      </c>
      <c r="E4" s="21" t="s">
        <v>553</v>
      </c>
      <c r="F4" s="5" t="n">
        <f aca="false">IF(E4="TTC",D4/(1+Hypothèses!$C$7),D4)</f>
        <v>1770</v>
      </c>
      <c r="G4" s="17" t="n">
        <f aca="false">C4*F4*Hypothèses!$C$6</f>
        <v>2322087.78</v>
      </c>
      <c r="H4" s="17" t="n">
        <f aca="false">G4/SUM($G$4:$G$22)*(Hypothèses!$C$90+2*Hypothèses!$C$91)*Hypothèses!$C$6</f>
        <v>68924.2173623343</v>
      </c>
      <c r="I4" s="17" t="n">
        <f aca="false">G4+H4</f>
        <v>2391011.99736233</v>
      </c>
      <c r="J4" s="28" t="n">
        <f aca="false">Hypothèses!$C$18</f>
        <v>0.1</v>
      </c>
      <c r="K4" s="29" t="n">
        <f aca="false">Hypothèses!$C$20+Hypothèses!$C$21+Hypothèses!$C$22+Hypothèses!$C$23</f>
        <v>0.0245</v>
      </c>
      <c r="L4" s="17" t="n">
        <f aca="false">I4*(J4+K4)</f>
        <v>297680.993671611</v>
      </c>
      <c r="M4" s="17" t="n">
        <f aca="false">I4+L4</f>
        <v>2688692.99103394</v>
      </c>
      <c r="N4" s="11" t="s">
        <v>554</v>
      </c>
    </row>
    <row r="5" customFormat="false" ht="15" hidden="false" customHeight="false" outlineLevel="0" collapsed="false">
      <c r="A5" s="3" t="s">
        <v>555</v>
      </c>
      <c r="B5" s="3" t="s">
        <v>552</v>
      </c>
      <c r="C5" s="21" t="n">
        <v>1</v>
      </c>
      <c r="D5" s="18" t="n">
        <v>929</v>
      </c>
      <c r="E5" s="21" t="s">
        <v>553</v>
      </c>
      <c r="F5" s="5" t="n">
        <f aca="false">IF(E5="TTC",D5/(1+Hypothèses!$C$7),D5)</f>
        <v>774.166666666667</v>
      </c>
      <c r="G5" s="17" t="n">
        <f aca="false">C5*F5*Hypothèses!$C$6</f>
        <v>507820.044166667</v>
      </c>
      <c r="H5" s="17" t="n">
        <f aca="false">G5/SUM($G$4:$G$22)*(Hypothèses!$C$90+2*Hypothèses!$C$91)*Hypothèses!$C$6</f>
        <v>15073.1162734484</v>
      </c>
      <c r="I5" s="17" t="n">
        <f aca="false">G5+H5</f>
        <v>522893.160440115</v>
      </c>
      <c r="J5" s="28" t="n">
        <f aca="false">Hypothèses!$C$18</f>
        <v>0.1</v>
      </c>
      <c r="K5" s="29" t="n">
        <f aca="false">Hypothèses!$C$20+Hypothèses!$C$21+Hypothèses!$C$22+Hypothèses!$C$23</f>
        <v>0.0245</v>
      </c>
      <c r="L5" s="17" t="n">
        <f aca="false">I5*(J5+K5)</f>
        <v>65100.1984747943</v>
      </c>
      <c r="M5" s="17" t="n">
        <f aca="false">I5+L5</f>
        <v>587993.358914909</v>
      </c>
      <c r="N5" s="11" t="s">
        <v>556</v>
      </c>
    </row>
    <row r="6" customFormat="false" ht="15" hidden="false" customHeight="false" outlineLevel="0" collapsed="false">
      <c r="A6" s="3" t="s">
        <v>557</v>
      </c>
      <c r="B6" s="3" t="s">
        <v>552</v>
      </c>
      <c r="C6" s="21" t="n">
        <v>1</v>
      </c>
      <c r="D6" s="18" t="n">
        <v>1961</v>
      </c>
      <c r="E6" s="21" t="s">
        <v>553</v>
      </c>
      <c r="F6" s="5" t="n">
        <f aca="false">IF(E6="TTC",D6/(1+Hypothèses!$C$7),D6)</f>
        <v>1634.16666666667</v>
      </c>
      <c r="G6" s="17" t="n">
        <f aca="false">C6*F6*Hypothèses!$C$6</f>
        <v>1071943.06416667</v>
      </c>
      <c r="H6" s="17" t="n">
        <f aca="false">G6/SUM($G$4:$G$22)*(Hypothèses!$C$90+2*Hypothèses!$C$91)*Hypothèses!$C$6</f>
        <v>31817.4176665578</v>
      </c>
      <c r="I6" s="17" t="n">
        <f aca="false">G6+H6</f>
        <v>1103760.48183322</v>
      </c>
      <c r="J6" s="28" t="n">
        <f aca="false">Hypothèses!$C$18</f>
        <v>0.1</v>
      </c>
      <c r="K6" s="29" t="n">
        <f aca="false">Hypothèses!$C$20+Hypothèses!$C$21+Hypothèses!$C$22+Hypothèses!$C$23</f>
        <v>0.0245</v>
      </c>
      <c r="L6" s="17" t="n">
        <f aca="false">I6*(J6+K6)</f>
        <v>137418.179988236</v>
      </c>
      <c r="M6" s="17" t="n">
        <f aca="false">I6+L6</f>
        <v>1241178.66182146</v>
      </c>
      <c r="N6" s="11" t="s">
        <v>558</v>
      </c>
    </row>
    <row r="7" customFormat="false" ht="15" hidden="false" customHeight="false" outlineLevel="0" collapsed="false">
      <c r="A7" s="3" t="s">
        <v>559</v>
      </c>
      <c r="B7" s="3" t="s">
        <v>552</v>
      </c>
      <c r="C7" s="21" t="n">
        <v>2</v>
      </c>
      <c r="D7" s="18" t="n">
        <v>1996.5</v>
      </c>
      <c r="E7" s="21" t="s">
        <v>553</v>
      </c>
      <c r="F7" s="5" t="n">
        <f aca="false">IF(E7="TTC",D7/(1+Hypothèses!$C$7),D7)</f>
        <v>1663.75</v>
      </c>
      <c r="G7" s="17" t="n">
        <f aca="false">C7*F7*Hypothèses!$C$6</f>
        <v>2182696.9175</v>
      </c>
      <c r="H7" s="17" t="n">
        <f aca="false">G7/SUM($G$4:$G$22)*(Hypothèses!$C$90+2*Hypothèses!$C$91)*Hypothèses!$C$6</f>
        <v>64786.8173088044</v>
      </c>
      <c r="I7" s="17" t="n">
        <f aca="false">G7+H7</f>
        <v>2247483.7348088</v>
      </c>
      <c r="J7" s="28" t="n">
        <f aca="false">Hypothèses!$C$18</f>
        <v>0.1</v>
      </c>
      <c r="K7" s="29" t="n">
        <f aca="false">Hypothèses!$C$20+Hypothèses!$C$21+Hypothèses!$C$22+Hypothèses!$C$23</f>
        <v>0.0245</v>
      </c>
      <c r="L7" s="17" t="n">
        <f aca="false">I7*(J7+K7)</f>
        <v>279811.724983696</v>
      </c>
      <c r="M7" s="17" t="n">
        <f aca="false">I7+L7</f>
        <v>2527295.4597925</v>
      </c>
      <c r="N7" s="11" t="s">
        <v>560</v>
      </c>
    </row>
    <row r="8" customFormat="false" ht="15" hidden="false" customHeight="false" outlineLevel="0" collapsed="false">
      <c r="A8" s="3" t="s">
        <v>561</v>
      </c>
      <c r="B8" s="3" t="s">
        <v>552</v>
      </c>
      <c r="C8" s="21" t="n">
        <v>2</v>
      </c>
      <c r="D8" s="18" t="n">
        <v>899.95</v>
      </c>
      <c r="E8" s="21" t="s">
        <v>553</v>
      </c>
      <c r="F8" s="5" t="n">
        <f aca="false">IF(E8="TTC",D8/(1+Hypothèses!$C$7),D8)</f>
        <v>749.958333333333</v>
      </c>
      <c r="G8" s="17" t="n">
        <f aca="false">C8*F8*Hypothèses!$C$6</f>
        <v>983880.836916667</v>
      </c>
      <c r="H8" s="17" t="n">
        <f aca="false">G8/SUM($G$4:$G$22)*(Hypothèses!$C$90+2*Hypothèses!$C$91)*Hypothèses!$C$6</f>
        <v>29203.5543386218</v>
      </c>
      <c r="I8" s="17" t="n">
        <f aca="false">G8+H8</f>
        <v>1013084.39125529</v>
      </c>
      <c r="J8" s="28" t="n">
        <f aca="false">Hypothèses!$C$18</f>
        <v>0.1</v>
      </c>
      <c r="K8" s="29" t="n">
        <f aca="false">Hypothèses!$C$20+Hypothèses!$C$21+Hypothèses!$C$22+Hypothèses!$C$23</f>
        <v>0.0245</v>
      </c>
      <c r="L8" s="17" t="n">
        <f aca="false">I8*(J8+K8)</f>
        <v>126129.006711283</v>
      </c>
      <c r="M8" s="17" t="n">
        <f aca="false">I8+L8</f>
        <v>1139213.39796657</v>
      </c>
      <c r="N8" s="11" t="s">
        <v>562</v>
      </c>
    </row>
    <row r="9" customFormat="false" ht="15" hidden="false" customHeight="false" outlineLevel="0" collapsed="false">
      <c r="A9" s="3" t="s">
        <v>563</v>
      </c>
      <c r="B9" s="3" t="s">
        <v>552</v>
      </c>
      <c r="C9" s="21" t="n">
        <v>1</v>
      </c>
      <c r="D9" s="18" t="n">
        <v>1850</v>
      </c>
      <c r="E9" s="21" t="s">
        <v>564</v>
      </c>
      <c r="F9" s="5" t="n">
        <f aca="false">IF(E9="TTC",D9/(1+Hypothèses!$C$7),D9)</f>
        <v>1850</v>
      </c>
      <c r="G9" s="17" t="n">
        <f aca="false">C9*F9*Hypothèses!$C$6</f>
        <v>1213520.45</v>
      </c>
      <c r="H9" s="17" t="n">
        <f aca="false">G9/SUM($G$4:$G$22)*(Hypothèses!$C$90+2*Hypothèses!$C$91)*Hypothèses!$C$6</f>
        <v>36019.7181130843</v>
      </c>
      <c r="I9" s="17" t="n">
        <f aca="false">G9+H9</f>
        <v>1249540.16811308</v>
      </c>
      <c r="J9" s="28" t="n">
        <f aca="false">Hypothèses!$C$18</f>
        <v>0.1</v>
      </c>
      <c r="K9" s="29" t="n">
        <f aca="false">Hypothèses!$C$20+Hypothèses!$C$21+Hypothèses!$C$22+Hypothèses!$C$23</f>
        <v>0.0245</v>
      </c>
      <c r="L9" s="17" t="n">
        <f aca="false">I9*(J9+K9)</f>
        <v>155567.750930079</v>
      </c>
      <c r="M9" s="17" t="n">
        <f aca="false">I9+L9</f>
        <v>1405107.91904316</v>
      </c>
      <c r="N9" s="11" t="s">
        <v>565</v>
      </c>
    </row>
    <row r="10" customFormat="false" ht="15" hidden="false" customHeight="false" outlineLevel="0" collapsed="false">
      <c r="A10" s="3" t="s">
        <v>566</v>
      </c>
      <c r="B10" s="3" t="s">
        <v>552</v>
      </c>
      <c r="C10" s="21" t="n">
        <v>1</v>
      </c>
      <c r="D10" s="18" t="n">
        <v>509</v>
      </c>
      <c r="E10" s="21" t="s">
        <v>553</v>
      </c>
      <c r="F10" s="5" t="n">
        <f aca="false">IF(E10="TTC",D10/(1+Hypothèses!$C$7),D10)</f>
        <v>424.166666666667</v>
      </c>
      <c r="G10" s="17" t="n">
        <f aca="false">C10*F10*Hypothèses!$C$6</f>
        <v>278235.094166667</v>
      </c>
      <c r="H10" s="17" t="n">
        <f aca="false">G10/SUM($G$4:$G$22)*(Hypothèses!$C$90+2*Hypothèses!$C$91)*Hypothèses!$C$6</f>
        <v>8258.57500881078</v>
      </c>
      <c r="I10" s="17" t="n">
        <f aca="false">G10+H10</f>
        <v>286493.669175477</v>
      </c>
      <c r="J10" s="28" t="n">
        <f aca="false">Hypothèses!$C$18</f>
        <v>0.1</v>
      </c>
      <c r="K10" s="29" t="n">
        <f aca="false">Hypothèses!$C$20+Hypothèses!$C$21+Hypothèses!$C$22+Hypothèses!$C$23</f>
        <v>0.0245</v>
      </c>
      <c r="L10" s="17" t="n">
        <f aca="false">I10*(J10+K10)</f>
        <v>35668.4618123469</v>
      </c>
      <c r="M10" s="17" t="n">
        <f aca="false">I10+L10</f>
        <v>322162.130987824</v>
      </c>
      <c r="N10" s="11" t="s">
        <v>567</v>
      </c>
    </row>
    <row r="11" customFormat="false" ht="15" hidden="false" customHeight="false" outlineLevel="0" collapsed="false">
      <c r="A11" s="3" t="s">
        <v>568</v>
      </c>
      <c r="B11" s="3" t="s">
        <v>552</v>
      </c>
      <c r="C11" s="21" t="n">
        <v>1</v>
      </c>
      <c r="D11" s="18" t="n">
        <v>2649</v>
      </c>
      <c r="E11" s="21" t="s">
        <v>553</v>
      </c>
      <c r="F11" s="5" t="n">
        <f aca="false">IF(E11="TTC",D11/(1+Hypothèses!$C$7),D11)</f>
        <v>2207.5</v>
      </c>
      <c r="G11" s="17" t="n">
        <f aca="false">C11*F11*Hypothèses!$C$6</f>
        <v>1448025.0775</v>
      </c>
      <c r="H11" s="17" t="n">
        <f aca="false">G11/SUM($G$4:$G$22)*(Hypothèses!$C$90+2*Hypothèses!$C$91)*Hypothèses!$C$6</f>
        <v>42980.2852619642</v>
      </c>
      <c r="I11" s="17" t="n">
        <f aca="false">G11+H11</f>
        <v>1491005.36276196</v>
      </c>
      <c r="J11" s="28" t="n">
        <f aca="false">Hypothèses!$C$18</f>
        <v>0.1</v>
      </c>
      <c r="K11" s="29" t="n">
        <f aca="false">Hypothèses!$C$20+Hypothèses!$C$21+Hypothèses!$C$22+Hypothèses!$C$23</f>
        <v>0.0245</v>
      </c>
      <c r="L11" s="17" t="n">
        <f aca="false">I11*(J11+K11)</f>
        <v>185630.167663865</v>
      </c>
      <c r="M11" s="17" t="n">
        <f aca="false">I11+L11</f>
        <v>1676635.53042583</v>
      </c>
      <c r="N11" s="11" t="s">
        <v>569</v>
      </c>
    </row>
    <row r="12" customFormat="false" ht="15" hidden="false" customHeight="false" outlineLevel="0" collapsed="false">
      <c r="A12" s="3" t="s">
        <v>570</v>
      </c>
      <c r="B12" s="3" t="s">
        <v>552</v>
      </c>
      <c r="C12" s="21" t="n">
        <v>2</v>
      </c>
      <c r="D12" s="18" t="n">
        <v>1324.495</v>
      </c>
      <c r="E12" s="21" t="s">
        <v>553</v>
      </c>
      <c r="F12" s="5" t="n">
        <f aca="false">IF(E12="TTC",D12/(1+Hypothèses!$C$7),D12)</f>
        <v>1103.74583333333</v>
      </c>
      <c r="G12" s="17" t="n">
        <f aca="false">C12*F12*Hypothèses!$C$6</f>
        <v>1448019.61119167</v>
      </c>
      <c r="H12" s="17" t="n">
        <f aca="false">G12/SUM($G$4:$G$22)*(Hypothèses!$C$90+2*Hypothèses!$C$91)*Hypothèses!$C$6</f>
        <v>42980.1230109817</v>
      </c>
      <c r="I12" s="17" t="n">
        <f aca="false">G12+H12</f>
        <v>1490999.73420265</v>
      </c>
      <c r="J12" s="28" t="n">
        <f aca="false">Hypothèses!$C$18</f>
        <v>0.1</v>
      </c>
      <c r="K12" s="29" t="n">
        <f aca="false">Hypothèses!$C$20+Hypothèses!$C$21+Hypothèses!$C$22+Hypothèses!$C$23</f>
        <v>0.0245</v>
      </c>
      <c r="L12" s="17" t="n">
        <f aca="false">I12*(J12+K12)</f>
        <v>185629.46690823</v>
      </c>
      <c r="M12" s="17" t="n">
        <f aca="false">I12+L12</f>
        <v>1676629.20111088</v>
      </c>
      <c r="N12" s="11" t="s">
        <v>571</v>
      </c>
    </row>
    <row r="13" customFormat="false" ht="15" hidden="false" customHeight="false" outlineLevel="0" collapsed="false">
      <c r="A13" s="3" t="s">
        <v>572</v>
      </c>
      <c r="B13" s="3" t="s">
        <v>573</v>
      </c>
      <c r="C13" s="21" t="n">
        <v>14</v>
      </c>
      <c r="D13" s="18" t="n">
        <v>2099</v>
      </c>
      <c r="E13" s="21" t="s">
        <v>553</v>
      </c>
      <c r="F13" s="5" t="n">
        <f aca="false">IF(E13="TTC",D13/(1+Hypothèses!$C$7),D13)</f>
        <v>1749.16666666667</v>
      </c>
      <c r="G13" s="17" t="n">
        <f aca="false">C13*F13*Hypothèses!$C$6</f>
        <v>16063293.6683333</v>
      </c>
      <c r="H13" s="17" t="n">
        <f aca="false">G13/SUM($G$4:$G$22)*(Hypothèses!$C$90+2*Hypothèses!$C$91)*Hypothèses!$C$6</f>
        <v>476790.737149143</v>
      </c>
      <c r="I13" s="17" t="n">
        <f aca="false">G13+H13</f>
        <v>16540084.4054825</v>
      </c>
      <c r="J13" s="28" t="n">
        <f aca="false">Hypothèses!$C$18</f>
        <v>0.1</v>
      </c>
      <c r="K13" s="29" t="n">
        <f aca="false">Hypothèses!$C$20+Hypothèses!$C$21+Hypothèses!$C$22+Hypothèses!$C$23</f>
        <v>0.0245</v>
      </c>
      <c r="L13" s="17" t="n">
        <f aca="false">I13*(J13+K13)</f>
        <v>2059240.50848257</v>
      </c>
      <c r="M13" s="17" t="n">
        <f aca="false">I13+L13</f>
        <v>18599324.913965</v>
      </c>
      <c r="N13" s="11" t="s">
        <v>574</v>
      </c>
    </row>
    <row r="14" customFormat="false" ht="15" hidden="false" customHeight="false" outlineLevel="0" collapsed="false">
      <c r="A14" s="3" t="s">
        <v>575</v>
      </c>
      <c r="B14" s="3" t="s">
        <v>573</v>
      </c>
      <c r="C14" s="21" t="n">
        <v>1</v>
      </c>
      <c r="D14" s="18" t="n">
        <v>707.775</v>
      </c>
      <c r="E14" s="21" t="s">
        <v>553</v>
      </c>
      <c r="F14" s="5" t="n">
        <f aca="false">IF(E14="TTC",D14/(1+Hypothèses!$C$7),D14)</f>
        <v>589.8125</v>
      </c>
      <c r="G14" s="17" t="n">
        <f aca="false">C14*F14*Hypothèses!$C$6</f>
        <v>386891.6380625</v>
      </c>
      <c r="H14" s="17" t="n">
        <f aca="false">G14/SUM($G$4:$G$22)*(Hypothèses!$C$90+2*Hypothèses!$C$91)*Hypothèses!$C$6</f>
        <v>11483.718913283</v>
      </c>
      <c r="I14" s="17" t="n">
        <f aca="false">G14+H14</f>
        <v>398375.356975783</v>
      </c>
      <c r="J14" s="28" t="n">
        <f aca="false">Hypothèses!$C$18</f>
        <v>0.1</v>
      </c>
      <c r="K14" s="29" t="n">
        <f aca="false">Hypothèses!$C$20+Hypothèses!$C$21+Hypothèses!$C$22+Hypothèses!$C$23</f>
        <v>0.0245</v>
      </c>
      <c r="L14" s="17" t="n">
        <f aca="false">I14*(J14+K14)</f>
        <v>49597.731943485</v>
      </c>
      <c r="M14" s="17" t="n">
        <f aca="false">I14+L14</f>
        <v>447973.088919268</v>
      </c>
      <c r="N14" s="11" t="s">
        <v>576</v>
      </c>
    </row>
    <row r="15" customFormat="false" ht="15" hidden="false" customHeight="false" outlineLevel="0" collapsed="false">
      <c r="A15" s="3" t="s">
        <v>577</v>
      </c>
      <c r="B15" s="3" t="s">
        <v>573</v>
      </c>
      <c r="C15" s="21" t="n">
        <v>1</v>
      </c>
      <c r="D15" s="18" t="n">
        <v>464.475</v>
      </c>
      <c r="E15" s="21" t="s">
        <v>553</v>
      </c>
      <c r="F15" s="5" t="n">
        <f aca="false">IF(E15="TTC",D15/(1+Hypothèses!$C$7),D15)</f>
        <v>387.0625</v>
      </c>
      <c r="G15" s="17" t="n">
        <f aca="false">C15*F15*Hypothèses!$C$6</f>
        <v>253896.3563125</v>
      </c>
      <c r="H15" s="17" t="n">
        <f aca="false">G15/SUM($G$4:$G$22)*(Hypothèses!$C$90+2*Hypothèses!$C$91)*Hypothèses!$C$6</f>
        <v>7536.15250926795</v>
      </c>
      <c r="I15" s="17" t="n">
        <f aca="false">G15+H15</f>
        <v>261432.508821768</v>
      </c>
      <c r="J15" s="28" t="n">
        <f aca="false">Hypothèses!$C$18</f>
        <v>0.1</v>
      </c>
      <c r="K15" s="29" t="n">
        <f aca="false">Hypothèses!$C$20+Hypothèses!$C$21+Hypothèses!$C$22+Hypothèses!$C$23</f>
        <v>0.0245</v>
      </c>
      <c r="L15" s="17" t="n">
        <f aca="false">I15*(J15+K15)</f>
        <v>32548.3473483101</v>
      </c>
      <c r="M15" s="17" t="n">
        <f aca="false">I15+L15</f>
        <v>293980.856170078</v>
      </c>
      <c r="N15" s="11" t="s">
        <v>578</v>
      </c>
    </row>
    <row r="16" customFormat="false" ht="15" hidden="false" customHeight="false" outlineLevel="0" collapsed="false">
      <c r="A16" s="3" t="s">
        <v>579</v>
      </c>
      <c r="B16" s="3" t="s">
        <v>580</v>
      </c>
      <c r="C16" s="21" t="n">
        <v>1</v>
      </c>
      <c r="D16" s="18" t="n">
        <v>3891.32</v>
      </c>
      <c r="E16" s="21" t="s">
        <v>564</v>
      </c>
      <c r="F16" s="5" t="n">
        <f aca="false">IF(E16="TTC",D16/(1+Hypothèses!$C$7),D16)</f>
        <v>3891.32</v>
      </c>
      <c r="G16" s="17" t="n">
        <f aca="false">C16*F16*Hypothèses!$C$6</f>
        <v>2552538.59324</v>
      </c>
      <c r="H16" s="17" t="n">
        <f aca="false">G16/SUM($G$4:$G$22)*(Hypothèses!$C$90+2*Hypothèses!$C$91)*Hypothèses!$C$6</f>
        <v>75764.4591825986</v>
      </c>
      <c r="I16" s="17" t="n">
        <f aca="false">G16+H16</f>
        <v>2628303.0524226</v>
      </c>
      <c r="J16" s="28" t="n">
        <f aca="false">Hypothèses!$C$18</f>
        <v>0.1</v>
      </c>
      <c r="K16" s="29" t="n">
        <f aca="false">Hypothèses!$C$20+Hypothèses!$C$21+Hypothèses!$C$22+Hypothèses!$C$23</f>
        <v>0.0245</v>
      </c>
      <c r="L16" s="17" t="n">
        <f aca="false">I16*(J16+K16)</f>
        <v>327223.730026614</v>
      </c>
      <c r="M16" s="17" t="n">
        <f aca="false">I16+L16</f>
        <v>2955526.78244921</v>
      </c>
      <c r="N16" s="11" t="s">
        <v>581</v>
      </c>
    </row>
    <row r="17" customFormat="false" ht="15" hidden="false" customHeight="false" outlineLevel="0" collapsed="false">
      <c r="A17" s="3" t="s">
        <v>582</v>
      </c>
      <c r="B17" s="3" t="s">
        <v>583</v>
      </c>
      <c r="C17" s="21" t="n">
        <v>2</v>
      </c>
      <c r="D17" s="18" t="n">
        <v>153.8</v>
      </c>
      <c r="E17" s="21" t="s">
        <v>553</v>
      </c>
      <c r="F17" s="5" t="n">
        <f aca="false">IF(E17="TTC",D17/(1+Hypothèses!$C$7),D17)</f>
        <v>128.166666666667</v>
      </c>
      <c r="G17" s="17" t="n">
        <f aca="false">C17*F17*Hypothèses!$C$6</f>
        <v>168143.644333333</v>
      </c>
      <c r="H17" s="17" t="n">
        <f aca="false">G17/SUM($G$4:$G$22)*(Hypothèses!$C$90+2*Hypothèses!$C$91)*Hypothèses!$C$6</f>
        <v>4990.84022143457</v>
      </c>
      <c r="I17" s="17" t="n">
        <f aca="false">G17+H17</f>
        <v>173134.484554768</v>
      </c>
      <c r="J17" s="28" t="n">
        <f aca="false">Hypothèses!$C$18</f>
        <v>0.1</v>
      </c>
      <c r="K17" s="29" t="n">
        <f aca="false">Hypothèses!$C$20+Hypothèses!$C$21+Hypothèses!$C$22+Hypothèses!$C$23</f>
        <v>0.0245</v>
      </c>
      <c r="L17" s="17" t="n">
        <f aca="false">I17*(J17+K17)</f>
        <v>21555.2433270686</v>
      </c>
      <c r="M17" s="17" t="n">
        <f aca="false">I17+L17</f>
        <v>194689.727881837</v>
      </c>
      <c r="N17" s="11" t="s">
        <v>584</v>
      </c>
    </row>
    <row r="18" customFormat="false" ht="15" hidden="false" customHeight="false" outlineLevel="0" collapsed="false">
      <c r="A18" s="3" t="s">
        <v>585</v>
      </c>
      <c r="B18" s="3" t="s">
        <v>583</v>
      </c>
      <c r="C18" s="21" t="n">
        <v>8</v>
      </c>
      <c r="D18" s="18" t="n">
        <v>500</v>
      </c>
      <c r="E18" s="21" t="s">
        <v>564</v>
      </c>
      <c r="F18" s="5" t="n">
        <f aca="false">IF(E18="TTC",D18/(1+Hypothèses!$C$7),D18)</f>
        <v>500</v>
      </c>
      <c r="G18" s="17" t="n">
        <f aca="false">C18*F18*Hypothèses!$C$6</f>
        <v>2623828</v>
      </c>
      <c r="H18" s="17" t="n">
        <f aca="false">G18/SUM($G$4:$G$22)*(Hypothèses!$C$90+2*Hypothèses!$C$91)*Hypothèses!$C$6</f>
        <v>77880.471595858</v>
      </c>
      <c r="I18" s="17" t="n">
        <f aca="false">G18+H18</f>
        <v>2701708.47159586</v>
      </c>
      <c r="J18" s="28" t="n">
        <f aca="false">Hypothèses!$C$18</f>
        <v>0.1</v>
      </c>
      <c r="K18" s="29" t="n">
        <f aca="false">Hypothèses!$C$20+Hypothèses!$C$21+Hypothèses!$C$22+Hypothèses!$C$23</f>
        <v>0.0245</v>
      </c>
      <c r="L18" s="17" t="n">
        <f aca="false">I18*(J18+K18)</f>
        <v>336362.704713684</v>
      </c>
      <c r="M18" s="17" t="n">
        <f aca="false">I18+L18</f>
        <v>3038071.17630954</v>
      </c>
      <c r="N18" s="11" t="s">
        <v>586</v>
      </c>
    </row>
    <row r="19" customFormat="false" ht="15" hidden="false" customHeight="false" outlineLevel="0" collapsed="false">
      <c r="A19" s="3" t="s">
        <v>587</v>
      </c>
      <c r="B19" s="3" t="s">
        <v>588</v>
      </c>
      <c r="C19" s="21" t="n">
        <v>30</v>
      </c>
      <c r="D19" s="18" t="n">
        <v>1274</v>
      </c>
      <c r="E19" s="21" t="s">
        <v>553</v>
      </c>
      <c r="F19" s="5" t="n">
        <f aca="false">IF(E19="TTC",D19/(1+Hypothèses!$C$7),D19)</f>
        <v>1061.66666666667</v>
      </c>
      <c r="G19" s="17" t="n">
        <f aca="false">C19*F19*Hypothèses!$C$6</f>
        <v>20892230.45</v>
      </c>
      <c r="H19" s="17" t="n">
        <f aca="false">G19/SUM($G$4:$G$22)*(Hypothèses!$C$90+2*Hypothèses!$C$91)*Hypothèses!$C$6</f>
        <v>620123.25508202</v>
      </c>
      <c r="I19" s="17" t="n">
        <f aca="false">G19+H19</f>
        <v>21512353.705082</v>
      </c>
      <c r="J19" s="28" t="n">
        <f aca="false">Hypothèses!$C$19</f>
        <v>0.2</v>
      </c>
      <c r="K19" s="29" t="n">
        <f aca="false">Hypothèses!$C$20+Hypothèses!$C$21+Hypothèses!$C$22+Hypothèses!$C$23</f>
        <v>0.0245</v>
      </c>
      <c r="L19" s="17" t="n">
        <f aca="false">I19*(J19+K19)</f>
        <v>4829523.40679091</v>
      </c>
      <c r="M19" s="17" t="n">
        <f aca="false">I19+L19</f>
        <v>26341877.1118729</v>
      </c>
      <c r="N19" s="11" t="s">
        <v>589</v>
      </c>
    </row>
    <row r="20" customFormat="false" ht="15" hidden="false" customHeight="false" outlineLevel="0" collapsed="false">
      <c r="A20" s="3" t="s">
        <v>590</v>
      </c>
      <c r="B20" s="3" t="s">
        <v>588</v>
      </c>
      <c r="C20" s="21" t="n">
        <v>20</v>
      </c>
      <c r="D20" s="18" t="n">
        <v>382.815</v>
      </c>
      <c r="E20" s="21" t="s">
        <v>564</v>
      </c>
      <c r="F20" s="5" t="n">
        <f aca="false">IF(E20="TTC",D20/(1+Hypothèses!$C$7),D20)</f>
        <v>382.815</v>
      </c>
      <c r="G20" s="17" t="n">
        <f aca="false">C20*F20*Hypothèses!$C$6</f>
        <v>5022203.5791</v>
      </c>
      <c r="H20" s="17" t="n">
        <f aca="false">G20/SUM($G$4:$G$22)*(Hypothèses!$C$90+2*Hypothèses!$C$91)*Hypothèses!$C$6</f>
        <v>149069.063669842</v>
      </c>
      <c r="I20" s="17" t="n">
        <f aca="false">G20+H20</f>
        <v>5171272.64276984</v>
      </c>
      <c r="J20" s="28" t="n">
        <f aca="false">Hypothèses!$C$19</f>
        <v>0.2</v>
      </c>
      <c r="K20" s="29" t="n">
        <f aca="false">Hypothèses!$C$20+Hypothèses!$C$21+Hypothèses!$C$22+Hypothèses!$C$23</f>
        <v>0.0245</v>
      </c>
      <c r="L20" s="17" t="n">
        <f aca="false">I20*(J20+K20)</f>
        <v>1160950.70830183</v>
      </c>
      <c r="M20" s="17" t="n">
        <f aca="false">I20+L20</f>
        <v>6332223.35107167</v>
      </c>
      <c r="N20" s="11" t="s">
        <v>591</v>
      </c>
    </row>
    <row r="21" customFormat="false" ht="15" hidden="false" customHeight="false" outlineLevel="0" collapsed="false">
      <c r="A21" s="3" t="s">
        <v>592</v>
      </c>
      <c r="B21" s="3" t="s">
        <v>588</v>
      </c>
      <c r="C21" s="21" t="n">
        <v>1</v>
      </c>
      <c r="D21" s="18" t="n">
        <v>3003.345</v>
      </c>
      <c r="E21" s="21" t="s">
        <v>564</v>
      </c>
      <c r="F21" s="5" t="n">
        <f aca="false">IF(E21="TTC",D21/(1+Hypothèses!$C$7),D21)</f>
        <v>3003.345</v>
      </c>
      <c r="G21" s="17" t="n">
        <f aca="false">C21*F21*Hypothèses!$C$6</f>
        <v>1970065.176165</v>
      </c>
      <c r="H21" s="17" t="n">
        <f aca="false">G21/SUM($G$4:$G$22)*(Hypothèses!$C$90+2*Hypothèses!$C$91)*Hypothèses!$C$6</f>
        <v>58475.4812412655</v>
      </c>
      <c r="I21" s="17" t="n">
        <f aca="false">G21+H21</f>
        <v>2028540.65740627</v>
      </c>
      <c r="J21" s="28" t="n">
        <f aca="false">Hypothèses!$C$19</f>
        <v>0.2</v>
      </c>
      <c r="K21" s="29" t="n">
        <f aca="false">Hypothèses!$C$20+Hypothèses!$C$21+Hypothèses!$C$22+Hypothèses!$C$23</f>
        <v>0.0245</v>
      </c>
      <c r="L21" s="17" t="n">
        <f aca="false">I21*(J21+K21)</f>
        <v>455407.377587707</v>
      </c>
      <c r="M21" s="17" t="n">
        <f aca="false">I21+L21</f>
        <v>2483948.03499397</v>
      </c>
      <c r="N21" s="11" t="s">
        <v>593</v>
      </c>
    </row>
    <row r="22" customFormat="false" ht="15" hidden="false" customHeight="false" outlineLevel="0" collapsed="false">
      <c r="A22" s="3" t="s">
        <v>594</v>
      </c>
      <c r="B22" s="3" t="s">
        <v>595</v>
      </c>
      <c r="C22" s="21" t="n">
        <v>1</v>
      </c>
      <c r="D22" s="18" t="n">
        <v>9000</v>
      </c>
      <c r="E22" s="21" t="s">
        <v>564</v>
      </c>
      <c r="F22" s="5" t="n">
        <f aca="false">IF(E22="TTC",D22/(1+Hypothèses!$C$7),D22)</f>
        <v>9000</v>
      </c>
      <c r="G22" s="17" t="n">
        <f aca="false">C22*F22*Hypothèses!$C$6</f>
        <v>5903613</v>
      </c>
      <c r="H22" s="17" t="n">
        <f aca="false">G22/SUM($G$4:$G$22)*(Hypothèses!$C$90+2*Hypothèses!$C$91)*Hypothèses!$C$6</f>
        <v>175231.061090681</v>
      </c>
      <c r="I22" s="17" t="n">
        <f aca="false">G22+H22</f>
        <v>6078844.06109068</v>
      </c>
      <c r="J22" s="28" t="n">
        <f aca="false">Hypothèses!$C$18</f>
        <v>0.1</v>
      </c>
      <c r="K22" s="29" t="n">
        <f aca="false">Hypothèses!$C$20+Hypothèses!$C$21+Hypothèses!$C$22+Hypothèses!$C$23</f>
        <v>0.0245</v>
      </c>
      <c r="L22" s="17" t="n">
        <f aca="false">I22*(J22+K22)</f>
        <v>756816.08560579</v>
      </c>
      <c r="M22" s="17" t="n">
        <f aca="false">I22+L22</f>
        <v>6835660.14669647</v>
      </c>
      <c r="N22" s="11" t="s">
        <v>596</v>
      </c>
    </row>
    <row r="23" customFormat="false" ht="15" hidden="false" customHeight="false" outlineLevel="0" collapsed="false">
      <c r="A23" s="3" t="s">
        <v>597</v>
      </c>
      <c r="M23" s="4" t="n">
        <f aca="false">Hypothèses!$C$92</f>
        <v>25000</v>
      </c>
    </row>
    <row r="24" customFormat="false" ht="15" hidden="false" customHeight="false" outlineLevel="0" collapsed="false">
      <c r="A24" s="6" t="s">
        <v>598</v>
      </c>
      <c r="G24" s="22" t="n">
        <f aca="false">SUM(G4:G22)</f>
        <v>67292932.981155</v>
      </c>
      <c r="H24" s="22" t="n">
        <f aca="false">SUM(H4:H22)</f>
        <v>1997389.065</v>
      </c>
      <c r="L24" s="22" t="n">
        <f aca="false">SUM(L4:L22)</f>
        <v>11497861.7952721</v>
      </c>
      <c r="M24" s="27" t="n">
        <f aca="false">SUM(M4:M23)</f>
        <v>80813183.8414271</v>
      </c>
    </row>
    <row r="25" customFormat="false" ht="15" hidden="false" customHeight="false" outlineLevel="0" collapsed="false">
      <c r="A25" s="3" t="s">
        <v>599</v>
      </c>
      <c r="G25" s="17" t="n">
        <f aca="false">SUMPRODUCT(C4:C22,F4:F22)*(1+Hypothèses!$C$7)*Hypothèses!$C$6</f>
        <v>80751519.577386</v>
      </c>
    </row>
    <row r="26" customFormat="false" ht="15" hidden="false" customHeight="false" outlineLevel="0" collapsed="false">
      <c r="A26" s="3" t="s">
        <v>600</v>
      </c>
      <c r="M26" s="17" t="n">
        <f aca="false">SUM(I4:I22,L4:L22)*Hypothèses!$C$12</f>
        <v>15551725.3894747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4" min="3" style="0" width="20"/>
    <col collapsed="false" customWidth="true" hidden="false" outlineLevel="0" max="5" min="5" style="0" width="12"/>
    <col collapsed="false" customWidth="true" hidden="false" outlineLevel="0" max="6" min="6" style="0" width="24"/>
  </cols>
  <sheetData>
    <row r="1" customFormat="false" ht="17.35" hidden="false" customHeight="false" outlineLevel="0" collapsed="false">
      <c r="A1" s="1" t="s">
        <v>601</v>
      </c>
    </row>
    <row r="3" customFormat="false" ht="23.85" hidden="false" customHeight="false" outlineLevel="0" collapsed="false">
      <c r="A3" s="2" t="s">
        <v>602</v>
      </c>
      <c r="B3" s="2" t="s">
        <v>603</v>
      </c>
      <c r="C3" s="2" t="s">
        <v>604</v>
      </c>
      <c r="D3" s="2" t="s">
        <v>605</v>
      </c>
      <c r="E3" s="2" t="s">
        <v>606</v>
      </c>
      <c r="F3" s="2" t="s">
        <v>607</v>
      </c>
    </row>
    <row r="4" customFormat="false" ht="15" hidden="false" customHeight="false" outlineLevel="0" collapsed="false">
      <c r="A4" s="3" t="s">
        <v>608</v>
      </c>
      <c r="B4" s="4" t="n">
        <f aca="false">Hypothèses!$C$96</f>
        <v>8</v>
      </c>
      <c r="C4" s="4" t="n">
        <f aca="false">Hypothèses!$C$93</f>
        <v>544500</v>
      </c>
      <c r="D4" s="17" t="n">
        <f aca="false">B4*C4</f>
        <v>4356000</v>
      </c>
      <c r="E4" s="4" t="n">
        <f aca="false">Hypothèses!$C$119</f>
        <v>3</v>
      </c>
      <c r="F4" s="17" t="n">
        <f aca="false">D4/E4/12</f>
        <v>121000</v>
      </c>
    </row>
    <row r="5" customFormat="false" ht="15" hidden="false" customHeight="false" outlineLevel="0" collapsed="false">
      <c r="A5" s="3" t="s">
        <v>609</v>
      </c>
      <c r="B5" s="4" t="n">
        <f aca="false">Hypothèses!$C$97</f>
        <v>1</v>
      </c>
      <c r="C5" s="4" t="n">
        <f aca="false">Hypothèses!$C$94</f>
        <v>12500000</v>
      </c>
      <c r="D5" s="17" t="n">
        <f aca="false">B5*C5</f>
        <v>12500000</v>
      </c>
      <c r="E5" s="4" t="n">
        <f aca="false">Hypothèses!$C$120</f>
        <v>5</v>
      </c>
      <c r="F5" s="17" t="n">
        <f aca="false">D5/E5/12</f>
        <v>208333.333333333</v>
      </c>
    </row>
    <row r="6" customFormat="false" ht="15" hidden="false" customHeight="false" outlineLevel="0" collapsed="false">
      <c r="A6" s="3" t="s">
        <v>610</v>
      </c>
      <c r="B6" s="4" t="n">
        <f aca="false">Hypothèses!$C$98</f>
        <v>1</v>
      </c>
      <c r="C6" s="4" t="n">
        <f aca="false">Hypothèses!$C$95</f>
        <v>16681700</v>
      </c>
      <c r="D6" s="17" t="n">
        <f aca="false">B6*C6</f>
        <v>16681700</v>
      </c>
      <c r="E6" s="4" t="n">
        <f aca="false">Hypothèses!$C$121</f>
        <v>5</v>
      </c>
      <c r="F6" s="17" t="n">
        <f aca="false">D6/E6/12</f>
        <v>278028.333333333</v>
      </c>
    </row>
    <row r="7" customFormat="false" ht="15" hidden="false" customHeight="false" outlineLevel="0" collapsed="false">
      <c r="A7" s="6" t="s">
        <v>611</v>
      </c>
      <c r="D7" s="22" t="n">
        <f aca="false">SUM(D4:D6)</f>
        <v>33537700</v>
      </c>
      <c r="F7" s="22" t="n">
        <f aca="false">SUM(F4:F6)</f>
        <v>607361.666666667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1" t="s">
        <v>612</v>
      </c>
    </row>
    <row r="3" customFormat="false" ht="15" hidden="false" customHeight="false" outlineLevel="0" collapsed="false">
      <c r="A3" s="2" t="s">
        <v>466</v>
      </c>
      <c r="B3" s="2" t="s">
        <v>613</v>
      </c>
      <c r="C3" s="2" t="s">
        <v>614</v>
      </c>
    </row>
    <row r="4" customFormat="false" ht="15" hidden="false" customHeight="false" outlineLevel="0" collapsed="false">
      <c r="A4" s="3" t="s">
        <v>615</v>
      </c>
      <c r="B4" s="17" t="n">
        <f aca="false">'Masse salariale'!$H$22</f>
        <v>8924711.25</v>
      </c>
      <c r="C4" s="8" t="s">
        <v>616</v>
      </c>
    </row>
    <row r="5" customFormat="false" ht="15" hidden="false" customHeight="false" outlineLevel="0" collapsed="false">
      <c r="A5" s="3" t="s">
        <v>617</v>
      </c>
      <c r="B5" s="17" t="n">
        <f aca="false">'Masse salariale'!$H$23</f>
        <v>598500</v>
      </c>
      <c r="C5" s="8" t="s">
        <v>618</v>
      </c>
    </row>
    <row r="6" customFormat="false" ht="15" hidden="false" customHeight="false" outlineLevel="0" collapsed="false">
      <c r="A6" s="3" t="s">
        <v>619</v>
      </c>
      <c r="B6" s="17" t="n">
        <f aca="false">Hypothèses!$C$107*Hypothèses!$C$106</f>
        <v>594000</v>
      </c>
      <c r="C6" s="8" t="s">
        <v>620</v>
      </c>
    </row>
    <row r="7" customFormat="false" ht="15" hidden="false" customHeight="false" outlineLevel="0" collapsed="false">
      <c r="A7" s="3" t="s">
        <v>621</v>
      </c>
      <c r="B7" s="17" t="n">
        <f aca="false">Hypothèses!$C$109*Hypothèses!$C$108</f>
        <v>65000</v>
      </c>
      <c r="C7" s="8" t="s">
        <v>622</v>
      </c>
    </row>
    <row r="8" customFormat="false" ht="15" hidden="false" customHeight="false" outlineLevel="0" collapsed="false">
      <c r="A8" s="3" t="s">
        <v>623</v>
      </c>
      <c r="B8" s="17" t="n">
        <f aca="false">Hypothèses!$C$111*Hypothèses!$C$110*Hypothèses!$C$6</f>
        <v>157567.43097</v>
      </c>
      <c r="C8" s="8" t="s">
        <v>624</v>
      </c>
    </row>
    <row r="9" customFormat="false" ht="15" hidden="false" customHeight="false" outlineLevel="0" collapsed="false">
      <c r="A9" s="3" t="s">
        <v>625</v>
      </c>
      <c r="B9" s="17" t="n">
        <f aca="false">Hypothèses!$C$96*Hypothèses!$C$102*Hypothèses!$C$103*Hypothèses!$C$50*Hypothèses!$C$101/100*Hypothèses!$C$99</f>
        <v>570286.08</v>
      </c>
      <c r="C9" s="8" t="s">
        <v>626</v>
      </c>
    </row>
    <row r="10" customFormat="false" ht="15" hidden="false" customHeight="false" outlineLevel="0" collapsed="false">
      <c r="A10" s="3" t="s">
        <v>627</v>
      </c>
      <c r="B10" s="17" t="n">
        <f aca="false">Hypothèses!$C$104*Hypothèses!$C$105/100*Hypothèses!$C$100</f>
        <v>165600</v>
      </c>
      <c r="C10" s="8" t="s">
        <v>628</v>
      </c>
    </row>
    <row r="11" customFormat="false" ht="15" hidden="false" customHeight="false" outlineLevel="0" collapsed="false">
      <c r="A11" s="3" t="s">
        <v>629</v>
      </c>
      <c r="B11" s="17" t="n">
        <f aca="false">('Maison mère Yaoundé'!$E$18+'Maison mère Yaoundé'!$E$16)*Hypothèses!$C$27/12</f>
        <v>30187.5</v>
      </c>
      <c r="C11" s="8" t="s">
        <v>630</v>
      </c>
    </row>
    <row r="12" customFormat="false" ht="15" hidden="false" customHeight="false" outlineLevel="0" collapsed="false">
      <c r="A12" s="6" t="s">
        <v>631</v>
      </c>
      <c r="B12" s="22" t="n">
        <f aca="false">SUM(B4:B11)</f>
        <v>11105852.26097</v>
      </c>
    </row>
    <row r="14" customFormat="false" ht="15" hidden="false" customHeight="false" outlineLevel="0" collapsed="false">
      <c r="A14" s="3" t="s">
        <v>632</v>
      </c>
      <c r="B14" s="17" t="n">
        <f aca="false">('Maison mère Yaoundé'!$E$16+'Maison mère Yaoundé'!$E$21)/Hypothèses!$C$113/12</f>
        <v>1129937.5</v>
      </c>
      <c r="C14" s="8"/>
    </row>
    <row r="15" customFormat="false" ht="15" hidden="false" customHeight="false" outlineLevel="0" collapsed="false">
      <c r="A15" s="3" t="s">
        <v>633</v>
      </c>
      <c r="B15" s="17" t="n">
        <f aca="false">'Maison mère Yaoundé'!$E$22/Hypothèses!$C$114/12</f>
        <v>147118.099231307</v>
      </c>
      <c r="C15" s="8"/>
    </row>
    <row r="16" customFormat="false" ht="15" hidden="false" customHeight="false" outlineLevel="0" collapsed="false">
      <c r="A16" s="3" t="s">
        <v>634</v>
      </c>
      <c r="B16" s="17" t="n">
        <f aca="false">SUMIF('Équipements importés'!$B$4:$B$22,"Studio",'Équipements importés'!$M$4:$M$22)/Hypothèses!$C$115/12</f>
        <v>368469.684752697</v>
      </c>
      <c r="C16" s="8"/>
    </row>
    <row r="17" customFormat="false" ht="15" hidden="false" customHeight="false" outlineLevel="0" collapsed="false">
      <c r="A17" s="3" t="s">
        <v>635</v>
      </c>
      <c r="B17" s="17" t="n">
        <f aca="false">(SUMIF('Équipements importés'!$B$4:$B$22,"Informatique",'Équipements importés'!$M$4:$M$22)+SUMIF('Équipements importés'!$B$4:$B$22,"Impression",'Équipements importés'!$M$4:$M$22))/Hypothèses!$C$115/12</f>
        <v>619355.712263989</v>
      </c>
      <c r="C17" s="8"/>
    </row>
    <row r="18" customFormat="false" ht="15" hidden="false" customHeight="false" outlineLevel="0" collapsed="false">
      <c r="A18" s="3" t="s">
        <v>636</v>
      </c>
      <c r="B18" s="17" t="n">
        <f aca="false">SUMIF('Équipements importés'!$B$4:$B$22,"Sécurité",'Équipements importés'!$M$4:$M$22)/Hypothèses!$C$117/12</f>
        <v>53879.3484031897</v>
      </c>
      <c r="C18" s="8"/>
    </row>
    <row r="19" customFormat="false" ht="15" hidden="false" customHeight="false" outlineLevel="0" collapsed="false">
      <c r="A19" s="3" t="s">
        <v>637</v>
      </c>
      <c r="B19" s="17" t="n">
        <f aca="false">SUMIF('Équipements importés'!$B$4:$B$22,"Mobilier",'Équipements importés'!$M$4:$M$22)/Hypothèses!$C$116/12</f>
        <v>292983.737482821</v>
      </c>
      <c r="C19" s="8"/>
    </row>
    <row r="20" customFormat="false" ht="15" hidden="false" customHeight="false" outlineLevel="0" collapsed="false">
      <c r="A20" s="3" t="s">
        <v>638</v>
      </c>
      <c r="B20" s="17" t="n">
        <f aca="false">SUMIF('Équipements importés'!$B$4:$B$22,"Énergie",'Équipements importés'!$M$4:$M$22)/Hypothèses!$C$118/12</f>
        <v>113927.669111608</v>
      </c>
      <c r="C20" s="8"/>
    </row>
    <row r="21" customFormat="false" ht="15" hidden="false" customHeight="false" outlineLevel="0" collapsed="false">
      <c r="A21" s="3" t="s">
        <v>639</v>
      </c>
      <c r="B21" s="17" t="n">
        <f aca="false">Flotte!$F$4</f>
        <v>121000</v>
      </c>
      <c r="C21" s="8"/>
    </row>
    <row r="22" customFormat="false" ht="15" hidden="false" customHeight="false" outlineLevel="0" collapsed="false">
      <c r="A22" s="3" t="s">
        <v>640</v>
      </c>
      <c r="B22" s="17" t="n">
        <f aca="false">Flotte!$F$5</f>
        <v>208333.333333333</v>
      </c>
      <c r="C22" s="8"/>
    </row>
    <row r="23" customFormat="false" ht="15" hidden="false" customHeight="false" outlineLevel="0" collapsed="false">
      <c r="A23" s="3" t="s">
        <v>641</v>
      </c>
      <c r="B23" s="17" t="n">
        <f aca="false">Flotte!$F$6</f>
        <v>278028.333333333</v>
      </c>
      <c r="C23" s="8"/>
    </row>
    <row r="24" customFormat="false" ht="15" hidden="false" customHeight="false" outlineLevel="0" collapsed="false">
      <c r="A24" s="6" t="s">
        <v>642</v>
      </c>
      <c r="B24" s="22" t="n">
        <f aca="false">SUM(B14:B23)</f>
        <v>3333033.41791228</v>
      </c>
    </row>
    <row r="26" customFormat="false" ht="15" hidden="false" customHeight="false" outlineLevel="0" collapsed="false">
      <c r="A26" s="3" t="s">
        <v>643</v>
      </c>
      <c r="B26" s="17" t="n">
        <f aca="false">'Masse salariale'!$G$29/12*Hypothèses!$C$6</f>
        <v>8869694.65488633</v>
      </c>
      <c r="C26" s="8"/>
    </row>
    <row r="27" customFormat="false" ht="15" hidden="false" customHeight="false" outlineLevel="0" collapsed="false">
      <c r="A27" s="3" t="s">
        <v>644</v>
      </c>
      <c r="B27" s="17" t="n">
        <f aca="false">Hypothèses!$C$77*Hypothèses!$C$76/12*Hypothèses!$C$6</f>
        <v>706793.6675</v>
      </c>
      <c r="C27" s="8"/>
    </row>
    <row r="28" customFormat="false" ht="15" hidden="false" customHeight="false" outlineLevel="0" collapsed="false">
      <c r="A28" s="3" t="s">
        <v>645</v>
      </c>
      <c r="B28" s="17" t="n">
        <f aca="false">Hypothèses!$C$78/12*Hypothèses!$C$6</f>
        <v>273315.416666667</v>
      </c>
      <c r="C28" s="8"/>
    </row>
    <row r="29" customFormat="false" ht="15" hidden="false" customHeight="false" outlineLevel="0" collapsed="false">
      <c r="A29" s="3" t="s">
        <v>646</v>
      </c>
      <c r="B29" s="17" t="n">
        <f aca="false">Hypothèses!$C$79/12*Hypothèses!$C$6</f>
        <v>169455.558333333</v>
      </c>
      <c r="C29" s="8"/>
    </row>
    <row r="30" customFormat="false" ht="15" hidden="false" customHeight="false" outlineLevel="0" collapsed="false">
      <c r="A30" s="3" t="s">
        <v>647</v>
      </c>
      <c r="B30" s="17" t="n">
        <f aca="false">Hypothèses!$C$80*Hypothèses!$C$6</f>
        <v>19350.7315</v>
      </c>
      <c r="C30" s="8"/>
    </row>
    <row r="31" customFormat="false" ht="15" hidden="false" customHeight="false" outlineLevel="0" collapsed="false">
      <c r="A31" s="6" t="s">
        <v>507</v>
      </c>
      <c r="B31" s="22" t="n">
        <f aca="false">SUM(B26:B30)</f>
        <v>10038610.0288863</v>
      </c>
    </row>
    <row r="33" customFormat="false" ht="15" hidden="false" customHeight="false" outlineLevel="0" collapsed="false">
      <c r="A33" s="6" t="s">
        <v>648</v>
      </c>
    </row>
    <row r="34" customFormat="false" ht="15" hidden="false" customHeight="false" outlineLevel="0" collapsed="false">
      <c r="A34" s="3" t="s">
        <v>649</v>
      </c>
    </row>
    <row r="35" customFormat="false" ht="15" hidden="false" customHeight="false" outlineLevel="0" collapsed="false">
      <c r="A35" s="3" t="s">
        <v>650</v>
      </c>
    </row>
    <row r="36" customFormat="false" ht="15" hidden="false" customHeight="false" outlineLevel="0" collapsed="false">
      <c r="A36" s="3" t="s">
        <v>651</v>
      </c>
    </row>
    <row r="37" customFormat="false" ht="15" hidden="false" customHeight="false" outlineLevel="0" collapsed="false">
      <c r="A37" s="3" t="s">
        <v>652</v>
      </c>
    </row>
    <row r="38" customFormat="false" ht="15" hidden="false" customHeight="false" outlineLevel="0" collapsed="false">
      <c r="A38" s="3" t="s">
        <v>653</v>
      </c>
    </row>
    <row r="39" customFormat="false" ht="15" hidden="false" customHeight="false" outlineLevel="0" collapsed="false">
      <c r="A39" s="3" t="s">
        <v>654</v>
      </c>
    </row>
    <row r="40" customFormat="false" ht="15" hidden="false" customHeight="false" outlineLevel="0" collapsed="false">
      <c r="A40" s="3" t="s">
        <v>655</v>
      </c>
    </row>
    <row r="41" customFormat="false" ht="15" hidden="false" customHeight="false" outlineLevel="0" collapsed="false">
      <c r="A41" s="3" t="s">
        <v>656</v>
      </c>
    </row>
    <row r="42" customFormat="false" ht="15" hidden="false" customHeight="false" outlineLevel="0" collapsed="false">
      <c r="A42" s="3" t="s">
        <v>657</v>
      </c>
    </row>
    <row r="43" customFormat="false" ht="15" hidden="false" customHeight="false" outlineLevel="0" collapsed="false">
      <c r="A43" s="3" t="s">
        <v>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20"/>
    <col collapsed="false" customWidth="true" hidden="false" outlineLevel="0" max="3" min="3" style="0" width="64"/>
  </cols>
  <sheetData>
    <row r="1" customFormat="false" ht="17.35" hidden="false" customHeight="false" outlineLevel="0" collapsed="false">
      <c r="A1" s="1" t="s">
        <v>659</v>
      </c>
    </row>
    <row r="3" customFormat="false" ht="15" hidden="false" customHeight="false" outlineLevel="0" collapsed="false">
      <c r="A3" s="2" t="s">
        <v>660</v>
      </c>
      <c r="B3" s="2" t="s">
        <v>661</v>
      </c>
      <c r="C3" s="2" t="s">
        <v>662</v>
      </c>
    </row>
    <row r="4" customFormat="false" ht="15" hidden="false" customHeight="false" outlineLevel="0" collapsed="false">
      <c r="A4" s="3" t="s">
        <v>663</v>
      </c>
      <c r="B4" s="17" t="n">
        <f aca="false">Hypothèses!$C$102*Hypothèses!$C$50</f>
        <v>312</v>
      </c>
    </row>
    <row r="5" customFormat="false" ht="15" hidden="false" customHeight="false" outlineLevel="0" collapsed="false">
      <c r="A5" s="3" t="s">
        <v>664</v>
      </c>
      <c r="B5" s="17" t="n">
        <f aca="false">Hypothèses!$C$96*Prix!$B$4</f>
        <v>2496</v>
      </c>
    </row>
    <row r="6" customFormat="false" ht="15" hidden="false" customHeight="false" outlineLevel="0" collapsed="false">
      <c r="A6" s="3" t="s">
        <v>665</v>
      </c>
      <c r="B6" s="17" t="n">
        <f aca="false">'Masse salariale'!$G$8/Prix!$B$4</f>
        <v>431.111111111111</v>
      </c>
      <c r="C6" s="8" t="s">
        <v>666</v>
      </c>
    </row>
    <row r="7" customFormat="false" ht="15" hidden="false" customHeight="false" outlineLevel="0" collapsed="false">
      <c r="A7" s="3" t="s">
        <v>667</v>
      </c>
      <c r="B7" s="17" t="n">
        <f aca="false">Hypothèses!$C$93/Hypothèses!$C$119/12/Prix!$B$4</f>
        <v>48.4775641025641</v>
      </c>
    </row>
    <row r="8" customFormat="false" ht="15" hidden="false" customHeight="false" outlineLevel="0" collapsed="false">
      <c r="A8" s="3" t="s">
        <v>668</v>
      </c>
      <c r="B8" s="17" t="n">
        <f aca="false">Hypothèses!$C$103*Hypothèses!$C$101/100*Hypothèses!$C$99</f>
        <v>228.48</v>
      </c>
    </row>
    <row r="9" customFormat="false" ht="15" hidden="false" customHeight="false" outlineLevel="0" collapsed="false">
      <c r="A9" s="3" t="s">
        <v>669</v>
      </c>
      <c r="B9" s="17" t="n">
        <f aca="false">Fonctionnement!$B$14*('Maison mère Yaoundé'!$F$4+'Maison mère Yaoundé'!$F$5)</f>
        <v>365630.056004978</v>
      </c>
    </row>
    <row r="10" customFormat="false" ht="15" hidden="false" customHeight="false" outlineLevel="0" collapsed="false">
      <c r="A10" s="3" t="s">
        <v>670</v>
      </c>
      <c r="B10" s="17" t="n">
        <f aca="false">(('Masse salariale'!$H$5+'Masse salariale'!$H$6+'Masse salariale'!$H$7)+Prix!$B$9)/Prix!$B$5</f>
        <v>803.945168004131</v>
      </c>
    </row>
    <row r="11" customFormat="false" ht="15" hidden="false" customHeight="false" outlineLevel="0" collapsed="false">
      <c r="A11" s="6" t="s">
        <v>671</v>
      </c>
      <c r="B11" s="27" t="n">
        <f aca="false">Prix!$B$6+Prix!$B$7+Prix!$B$8+Prix!$B$10</f>
        <v>1512.01384321781</v>
      </c>
    </row>
    <row r="12" customFormat="false" ht="15" hidden="false" customHeight="false" outlineLevel="0" collapsed="false">
      <c r="A12" s="3" t="s">
        <v>672</v>
      </c>
      <c r="B12" s="17" t="n">
        <f aca="false">Prix!$B$11*(1+Hypothèses!$C$123)</f>
        <v>1814.41661186137</v>
      </c>
    </row>
    <row r="13" customFormat="false" ht="15" hidden="false" customHeight="false" outlineLevel="0" collapsed="false">
      <c r="A13" s="6" t="s">
        <v>673</v>
      </c>
      <c r="B13" s="27" t="n">
        <f aca="false">Prix!$B$12*(1+Hypothèses!$C$12)</f>
        <v>2163.69180964468</v>
      </c>
      <c r="C13" s="8" t="s">
        <v>674</v>
      </c>
    </row>
    <row r="14" customFormat="false" ht="15" hidden="false" customHeight="false" outlineLevel="0" collapsed="false">
      <c r="A14" s="3" t="s">
        <v>675</v>
      </c>
      <c r="B14" s="17" t="n">
        <f aca="false">Hypothèses!$C$137</f>
        <v>2500</v>
      </c>
      <c r="C14" s="8" t="s">
        <v>676</v>
      </c>
    </row>
    <row r="16" customFormat="false" ht="15" hidden="false" customHeight="false" outlineLevel="0" collapsed="false">
      <c r="A16" s="2" t="s">
        <v>677</v>
      </c>
      <c r="B16" s="2" t="s">
        <v>661</v>
      </c>
      <c r="C16" s="2" t="s">
        <v>662</v>
      </c>
    </row>
    <row r="17" customFormat="false" ht="15" hidden="false" customHeight="false" outlineLevel="0" collapsed="false">
      <c r="A17" s="3" t="s">
        <v>678</v>
      </c>
      <c r="B17" s="17" t="n">
        <f aca="false">'Masse salariale'!$H$13+'Masse salariale'!$H$14+0.5*'Masse salariale'!$H$15</f>
        <v>652136.875</v>
      </c>
    </row>
    <row r="18" customFormat="false" ht="15" hidden="false" customHeight="false" outlineLevel="0" collapsed="false">
      <c r="A18" s="3" t="s">
        <v>679</v>
      </c>
      <c r="B18" s="17" t="n">
        <f aca="false">Fonctionnement!$B$14*'Maison mère Yaoundé'!$F$6</f>
        <v>256644.173926571</v>
      </c>
    </row>
    <row r="19" customFormat="false" ht="15" hidden="false" customHeight="false" outlineLevel="0" collapsed="false">
      <c r="A19" s="3" t="s">
        <v>680</v>
      </c>
      <c r="B19" s="17" t="n">
        <f aca="false">Fonctionnement!$B$16</f>
        <v>368469.684752697</v>
      </c>
    </row>
    <row r="20" customFormat="false" ht="15" hidden="false" customHeight="false" outlineLevel="0" collapsed="false">
      <c r="A20" s="3" t="s">
        <v>681</v>
      </c>
      <c r="B20" s="17" t="n">
        <f aca="false">Fonctionnement!$B$6*Hypothèses!$C$129</f>
        <v>148500</v>
      </c>
    </row>
    <row r="21" customFormat="false" ht="15" hidden="false" customHeight="false" outlineLevel="0" collapsed="false">
      <c r="A21" s="3" t="s">
        <v>682</v>
      </c>
      <c r="B21" s="17" t="n">
        <f aca="false">Fonctionnement!$B$8</f>
        <v>157567.43097</v>
      </c>
    </row>
    <row r="22" customFormat="false" ht="15" hidden="false" customHeight="false" outlineLevel="0" collapsed="false">
      <c r="A22" s="6" t="s">
        <v>683</v>
      </c>
      <c r="B22" s="27" t="n">
        <f aca="false">Prix!$B$17+Prix!$B$18+Prix!$B$19+Prix!$B$20+Prix!$B$21</f>
        <v>1583318.16464927</v>
      </c>
    </row>
    <row r="23" customFormat="false" ht="15" hidden="false" customHeight="false" outlineLevel="0" collapsed="false">
      <c r="A23" s="3" t="s">
        <v>684</v>
      </c>
      <c r="B23" s="10" t="n">
        <f aca="false">Hypothèses!$C$126*Hypothèses!$C$124*Hypothèses!$C$125</f>
        <v>92.4</v>
      </c>
    </row>
    <row r="24" customFormat="false" ht="15" hidden="false" customHeight="false" outlineLevel="0" collapsed="false">
      <c r="A24" s="6" t="s">
        <v>685</v>
      </c>
      <c r="B24" s="27" t="n">
        <f aca="false">Prix!$B$22/Prix!$B$23</f>
        <v>17135.4779723947</v>
      </c>
    </row>
    <row r="25" customFormat="false" ht="15" hidden="false" customHeight="false" outlineLevel="0" collapsed="false">
      <c r="A25" s="3" t="s">
        <v>686</v>
      </c>
      <c r="B25" s="10" t="n">
        <f aca="false">5/Hypothèses!$C$127</f>
        <v>0.625</v>
      </c>
    </row>
    <row r="26" customFormat="false" ht="15" hidden="false" customHeight="false" outlineLevel="0" collapsed="false">
      <c r="A26" s="3" t="s">
        <v>687</v>
      </c>
      <c r="B26" s="17" t="n">
        <f aca="false">Prix!$B$25*Prix!$B$24</f>
        <v>10709.6737327467</v>
      </c>
    </row>
    <row r="27" customFormat="false" ht="15" hidden="false" customHeight="false" outlineLevel="0" collapsed="false">
      <c r="A27" s="3" t="s">
        <v>688</v>
      </c>
      <c r="B27" s="17" t="n">
        <f aca="false">Prix!$B$26*(1+Hypothèses!$C$12)</f>
        <v>12771.2859263004</v>
      </c>
    </row>
    <row r="28" customFormat="false" ht="15" hidden="false" customHeight="false" outlineLevel="0" collapsed="false">
      <c r="A28" s="6" t="s">
        <v>689</v>
      </c>
      <c r="B28" s="27" t="n">
        <f aca="false">Prix!$B$26*(1+Hypothèses!$C$123)*(1+Hypothèses!$C$12)</f>
        <v>15325.5431115605</v>
      </c>
    </row>
    <row r="29" customFormat="false" ht="15" hidden="false" customHeight="false" outlineLevel="0" collapsed="false">
      <c r="A29" s="3" t="s">
        <v>690</v>
      </c>
      <c r="B29" s="17" t="n">
        <f aca="false">5*Hypothèses!$C$130</f>
        <v>25000</v>
      </c>
    </row>
    <row r="30" customFormat="false" ht="15" hidden="false" customHeight="false" outlineLevel="0" collapsed="false">
      <c r="A30" s="6" t="s">
        <v>691</v>
      </c>
      <c r="B30" s="27" t="n">
        <f aca="false">MAX(Prix!$B$29,ROUNDUP(Prix!$B$28/5000,0)*5000)</f>
        <v>25000</v>
      </c>
    </row>
    <row r="31" customFormat="false" ht="15" hidden="false" customHeight="false" outlineLevel="0" collapsed="false">
      <c r="A31" s="3" t="s">
        <v>692</v>
      </c>
      <c r="B31" s="10" t="n">
        <f aca="false">5/Hypothèses!$C$127+5/Hypothèses!$C$128+1</f>
        <v>3.29166666666667</v>
      </c>
    </row>
    <row r="32" customFormat="false" ht="15" hidden="false" customHeight="false" outlineLevel="0" collapsed="false">
      <c r="A32" s="3" t="s">
        <v>693</v>
      </c>
      <c r="B32" s="17" t="n">
        <f aca="false">Prix!$B$31*Prix!$B$24</f>
        <v>56404.2816591325</v>
      </c>
    </row>
    <row r="33" customFormat="false" ht="15" hidden="false" customHeight="false" outlineLevel="0" collapsed="false">
      <c r="A33" s="3" t="s">
        <v>694</v>
      </c>
      <c r="B33" s="17" t="n">
        <f aca="false">Prix!$B$32*(1+Hypothèses!$C$12)</f>
        <v>67262.1058785155</v>
      </c>
    </row>
    <row r="34" customFormat="false" ht="15" hidden="false" customHeight="false" outlineLevel="0" collapsed="false">
      <c r="A34" s="6" t="s">
        <v>695</v>
      </c>
      <c r="B34" s="27" t="n">
        <f aca="false">Prix!$B$32*(1+Hypothèses!$C$123)*(1+Hypothèses!$C$12)</f>
        <v>80714.5270542186</v>
      </c>
    </row>
    <row r="35" customFormat="false" ht="15" hidden="false" customHeight="false" outlineLevel="0" collapsed="false">
      <c r="A35" s="3" t="s">
        <v>696</v>
      </c>
      <c r="B35" s="17" t="n">
        <f aca="false">5*Hypothèses!$C$130+5*Hypothèses!$C$131+Hypothèses!$C$132</f>
        <v>90000</v>
      </c>
    </row>
    <row r="36" customFormat="false" ht="15" hidden="false" customHeight="false" outlineLevel="0" collapsed="false">
      <c r="A36" s="6" t="s">
        <v>697</v>
      </c>
      <c r="B36" s="27" t="n">
        <f aca="false">MAX(Prix!$B$35,ROUNDUP(Prix!$B$34/5000,0)*5000)</f>
        <v>90000</v>
      </c>
    </row>
    <row r="37" customFormat="false" ht="15" hidden="false" customHeight="false" outlineLevel="0" collapsed="false">
      <c r="A37" s="3" t="s">
        <v>698</v>
      </c>
      <c r="B37" s="10" t="n">
        <f aca="false">20/Hypothèses!$C$127+10/Hypothèses!$C$128+4</f>
        <v>9.83333333333333</v>
      </c>
    </row>
    <row r="38" customFormat="false" ht="15" hidden="false" customHeight="false" outlineLevel="0" collapsed="false">
      <c r="A38" s="3" t="s">
        <v>699</v>
      </c>
      <c r="B38" s="17" t="n">
        <f aca="false">Prix!$B$37*Prix!$B$24</f>
        <v>168498.866728548</v>
      </c>
    </row>
    <row r="39" customFormat="false" ht="15" hidden="false" customHeight="false" outlineLevel="0" collapsed="false">
      <c r="A39" s="3" t="s">
        <v>700</v>
      </c>
      <c r="B39" s="17" t="n">
        <f aca="false">Prix!$B$38*(1+Hypothèses!$C$12)</f>
        <v>200934.898573793</v>
      </c>
    </row>
    <row r="40" customFormat="false" ht="15" hidden="false" customHeight="false" outlineLevel="0" collapsed="false">
      <c r="A40" s="6" t="s">
        <v>701</v>
      </c>
      <c r="B40" s="27" t="n">
        <f aca="false">Prix!$B$38*(1+Hypothèses!$C$123)*(1+Hypothèses!$C$12)</f>
        <v>241121.878288552</v>
      </c>
    </row>
    <row r="41" customFormat="false" ht="15" hidden="false" customHeight="false" outlineLevel="0" collapsed="false">
      <c r="A41" s="3" t="s">
        <v>702</v>
      </c>
      <c r="B41" s="17" t="n">
        <f aca="false">20*Hypothèses!$C$130+10*Hypothèses!$C$131+3*Hypothèses!$C$132</f>
        <v>245000</v>
      </c>
    </row>
    <row r="42" customFormat="false" ht="15" hidden="false" customHeight="false" outlineLevel="0" collapsed="false">
      <c r="A42" s="6" t="s">
        <v>703</v>
      </c>
      <c r="B42" s="27" t="n">
        <f aca="false">MAX(Prix!$B$41,ROUNDUP(Prix!$B$40/5000,0)*5000)</f>
        <v>245000</v>
      </c>
    </row>
    <row r="44" customFormat="false" ht="15" hidden="false" customHeight="false" outlineLevel="0" collapsed="false">
      <c r="A44" s="2" t="s">
        <v>704</v>
      </c>
      <c r="B44" s="2" t="s">
        <v>661</v>
      </c>
      <c r="C44" s="2" t="s">
        <v>662</v>
      </c>
    </row>
    <row r="45" customFormat="false" ht="15" hidden="false" customHeight="false" outlineLevel="0" collapsed="false">
      <c r="A45" s="3" t="s">
        <v>705</v>
      </c>
      <c r="B45" s="17" t="n">
        <f aca="false">Hypothèses!$C$133*Hypothèses!$C$135</f>
        <v>2775</v>
      </c>
    </row>
    <row r="46" customFormat="false" ht="15" hidden="false" customHeight="false" outlineLevel="0" collapsed="false">
      <c r="A46" s="3" t="s">
        <v>706</v>
      </c>
      <c r="B46" s="17" t="n">
        <f aca="false">Hypothèses!$C$134*(Hypothèses!$C$133+Prix!$B$13)</f>
        <v>330.619068954315</v>
      </c>
    </row>
    <row r="47" customFormat="false" ht="15" hidden="false" customHeight="false" outlineLevel="0" collapsed="false">
      <c r="A47" s="3" t="s">
        <v>707</v>
      </c>
      <c r="B47" s="17" t="n">
        <f aca="false">(Prix!$B$12-Prix!$B$11)</f>
        <v>302.402768643561</v>
      </c>
      <c r="C47" s="8" t="s">
        <v>708</v>
      </c>
    </row>
    <row r="48" customFormat="false" ht="15" hidden="false" customHeight="false" outlineLevel="0" collapsed="false">
      <c r="A48" s="3" t="s">
        <v>709</v>
      </c>
      <c r="B48" s="17" t="n">
        <f aca="false">Hypothèses!$C$11*(Prix!$B$45+Prix!$B$12)</f>
        <v>12.9880490115677</v>
      </c>
    </row>
    <row r="49" customFormat="false" ht="15" hidden="false" customHeight="false" outlineLevel="0" collapsed="false">
      <c r="A49" s="3" t="s">
        <v>710</v>
      </c>
      <c r="B49" s="17" t="n">
        <f aca="false">Hypothèses!$C$10*(Prix!$B$45+Prix!$B$12)</f>
        <v>100.96716546095</v>
      </c>
    </row>
    <row r="50" customFormat="false" ht="15" hidden="false" customHeight="false" outlineLevel="0" collapsed="false">
      <c r="A50" s="6" t="s">
        <v>711</v>
      </c>
      <c r="B50" s="27" t="n">
        <f aca="false">Prix!$B$45-Prix!$B$46+Prix!$B$47-Prix!$B$48-Prix!$B$49</f>
        <v>2632.82848521673</v>
      </c>
    </row>
    <row r="51" customFormat="false" ht="15" hidden="false" customHeight="false" outlineLevel="0" collapsed="false">
      <c r="A51" s="6" t="s">
        <v>712</v>
      </c>
      <c r="B51" s="27" t="n">
        <f aca="false">Fonctionnement!$B$12-'Masse salariale'!$H$8-('Masse salariale'!$H$5+'Masse salariale'!$H$6+'Masse salariale'!$H$7)-Prix!$B$17-Prix!$B$20-Prix!$B$21-Fonctionnement!$B$9+Fonctionnement!$B$24-Fonctionnement!$B$21-Prix!$B$19-Prix!$B$18-Prix!$B$9</f>
        <v>9081580.96156136</v>
      </c>
    </row>
    <row r="52" customFormat="false" ht="15" hidden="false" customHeight="false" outlineLevel="0" collapsed="false">
      <c r="A52" s="3" t="s">
        <v>713</v>
      </c>
      <c r="B52" s="17" t="n">
        <f aca="false">Fonctionnement!$B$31</f>
        <v>10038610.0288863</v>
      </c>
    </row>
    <row r="53" customFormat="false" ht="15" hidden="false" customHeight="false" outlineLevel="0" collapsed="false">
      <c r="A53" s="3" t="s">
        <v>714</v>
      </c>
      <c r="B53" s="17" t="n">
        <f aca="false">Fonctionnement!$B$31/(1-Hypothèses!$C$15)</f>
        <v>10852551.3825798</v>
      </c>
    </row>
    <row r="54" customFormat="false" ht="15" hidden="false" customHeight="false" outlineLevel="0" collapsed="false">
      <c r="A54" s="3" t="s">
        <v>715</v>
      </c>
      <c r="B54" s="10" t="n">
        <f aca="false">1-Hypothèses!$C$9*(1-Hypothèses!$C$17)</f>
        <v>0.731875</v>
      </c>
    </row>
    <row r="55" customFormat="false" ht="15" hidden="false" customHeight="false" outlineLevel="0" collapsed="false">
      <c r="A55" s="6" t="s">
        <v>716</v>
      </c>
      <c r="B55" s="27" t="n">
        <f aca="false">Prix!$B$51/Prix!$B$50</f>
        <v>3449.36292377351</v>
      </c>
    </row>
    <row r="56" customFormat="false" ht="15" hidden="false" customHeight="false" outlineLevel="0" collapsed="false">
      <c r="A56" s="6" t="s">
        <v>717</v>
      </c>
      <c r="B56" s="27" t="n">
        <f aca="false">MAX(((Prix!$B$53/Prix!$B$54+Prix!$B$51)/(Prix!$B$50+Prix!$B$49)),((Prix!$B$53+Prix!$B$51)/Prix!$B$50))</f>
        <v>8746.08275802982</v>
      </c>
    </row>
    <row r="57" customFormat="false" ht="15" hidden="false" customHeight="false" outlineLevel="0" collapsed="false">
      <c r="A57" s="3" t="s">
        <v>718</v>
      </c>
      <c r="B57" s="17" t="n">
        <f aca="false">Prix!$B$56*Hypothèses!$C$133</f>
        <v>161802531.023552</v>
      </c>
    </row>
    <row r="58" customFormat="false" ht="15" hidden="false" customHeight="false" outlineLevel="0" collapsed="false">
      <c r="A58" s="3" t="s">
        <v>719</v>
      </c>
      <c r="B58" s="17" t="n">
        <f aca="false">ROUNDUP(Prix!$B$56/Prix!$B$4,0)</f>
        <v>29</v>
      </c>
    </row>
    <row r="59" customFormat="false" ht="15" hidden="false" customHeight="false" outlineLevel="0" collapsed="false">
      <c r="A59" s="3" t="s">
        <v>720</v>
      </c>
      <c r="B59" s="17" t="n">
        <f aca="false">((Prix!$B$30+Prix!$B$36+Prix!$B$42)/(1+Hypothèses!$C$12)/(Prix!$B$25+Prix!$B$31+Prix!$B$37))*Prix!$B$23*(1-Hypothèses!$C$11-Hypothèses!$C$10)-Prix!$B$22</f>
        <v>394988.974973374</v>
      </c>
    </row>
    <row r="60" customFormat="false" ht="15" hidden="false" customHeight="false" outlineLevel="0" collapsed="false">
      <c r="A60" s="6" t="s">
        <v>721</v>
      </c>
      <c r="B60" s="27" t="n">
        <f aca="false">MAX((Prix!$B$53/Prix!$B$54+Prix!$B$51-Prix!$B$59)/(Prix!$B$50+Prix!$B$49),(Prix!$B$53+Prix!$B$51-Prix!$B$59)/Prix!$B$50)</f>
        <v>8601.59903450226</v>
      </c>
    </row>
    <row r="62" customFormat="false" ht="15" hidden="false" customHeight="false" outlineLevel="0" collapsed="false">
      <c r="A62" s="2" t="s">
        <v>722</v>
      </c>
      <c r="B62" s="2" t="s">
        <v>661</v>
      </c>
      <c r="C62" s="2" t="s">
        <v>662</v>
      </c>
    </row>
    <row r="63" customFormat="false" ht="15" hidden="false" customHeight="false" outlineLevel="0" collapsed="false">
      <c r="A63" s="3" t="s">
        <v>723</v>
      </c>
      <c r="B63" s="17" t="n">
        <f aca="false">'Masse salariale'!$G$12/Hypothèses!$C$136</f>
        <v>6694.45833333333</v>
      </c>
    </row>
    <row r="64" customFormat="false" ht="15" hidden="false" customHeight="false" outlineLevel="0" collapsed="false">
      <c r="A64" s="6" t="s">
        <v>724</v>
      </c>
      <c r="B64" s="27" t="n">
        <f aca="false">Prix!$B$63*(1+Hypothèses!$C$123)*(1+Hypothèses!$C$12)</f>
        <v>9579.769875</v>
      </c>
    </row>
    <row r="65" customFormat="false" ht="15" hidden="false" customHeight="false" outlineLevel="0" collapsed="false">
      <c r="A65" s="3" t="s">
        <v>725</v>
      </c>
      <c r="B65" s="17" t="n">
        <f aca="false">Hypothèses!$C$138</f>
        <v>10000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0"/>
    <col collapsed="false" customWidth="true" hidden="false" outlineLevel="0" max="5" min="4" style="0" width="22"/>
  </cols>
  <sheetData>
    <row r="1" customFormat="false" ht="17.35" hidden="false" customHeight="false" outlineLevel="0" collapsed="false">
      <c r="A1" s="1" t="s">
        <v>726</v>
      </c>
    </row>
    <row r="3" customFormat="false" ht="23.85" hidden="false" customHeight="false" outlineLevel="0" collapsed="false">
      <c r="A3" s="2" t="s">
        <v>727</v>
      </c>
      <c r="B3" s="2" t="s">
        <v>728</v>
      </c>
      <c r="C3" s="2" t="s">
        <v>729</v>
      </c>
      <c r="D3" s="2" t="s">
        <v>730</v>
      </c>
      <c r="E3" s="2" t="s">
        <v>731</v>
      </c>
    </row>
    <row r="4" customFormat="false" ht="15" hidden="false" customHeight="false" outlineLevel="0" collapsed="false">
      <c r="A4" s="3" t="s">
        <v>732</v>
      </c>
      <c r="B4" s="10" t="n">
        <f aca="false">100</f>
        <v>100</v>
      </c>
      <c r="C4" s="10" t="n">
        <f aca="false">100</f>
        <v>100</v>
      </c>
      <c r="D4" s="10" t="n">
        <f aca="false">100</f>
        <v>100</v>
      </c>
      <c r="E4" s="10" t="n">
        <f aca="false">100</f>
        <v>100</v>
      </c>
    </row>
    <row r="5" customFormat="false" ht="15" hidden="false" customHeight="false" outlineLevel="0" collapsed="false">
      <c r="A5" s="3" t="s">
        <v>733</v>
      </c>
      <c r="B5" s="10" t="n">
        <f aca="false">B4*Hypothèses!$C$9</f>
        <v>27.5</v>
      </c>
      <c r="C5" s="10" t="n">
        <f aca="false">C4*Hypothèses!$C$9</f>
        <v>27.5</v>
      </c>
      <c r="D5" s="10" t="n">
        <f aca="false">D4*Hypothèses!$C$9*(1-Hypothèses!$C$17)</f>
        <v>26.8125</v>
      </c>
      <c r="E5" s="10" t="n">
        <f aca="false">E4*Hypothèses!$C$9*(1-Hypothèses!$C$17)</f>
        <v>26.8125</v>
      </c>
    </row>
    <row r="6" customFormat="false" ht="15" hidden="false" customHeight="false" outlineLevel="0" collapsed="false">
      <c r="A6" s="3" t="s">
        <v>734</v>
      </c>
      <c r="B6" s="10" t="n">
        <f aca="false">B4-B5</f>
        <v>72.5</v>
      </c>
      <c r="C6" s="10" t="n">
        <f aca="false">C4-C5</f>
        <v>72.5</v>
      </c>
      <c r="D6" s="10" t="n">
        <f aca="false">D4-D5</f>
        <v>73.1875</v>
      </c>
      <c r="E6" s="10" t="n">
        <f aca="false">E4-E5</f>
        <v>73.1875</v>
      </c>
    </row>
    <row r="7" customFormat="false" ht="15" hidden="false" customHeight="false" outlineLevel="0" collapsed="false">
      <c r="A7" s="3" t="s">
        <v>735</v>
      </c>
      <c r="B7" s="10" t="n">
        <f aca="false">B6*Hypothèses!$C$13</f>
        <v>10.875</v>
      </c>
      <c r="C7" s="10" t="n">
        <f aca="false">C6*Hypothèses!$C$14*1.1</f>
        <v>7.975</v>
      </c>
      <c r="D7" s="10" t="n">
        <f aca="false">D6*Hypothèses!$C$15</f>
        <v>5.4890625</v>
      </c>
      <c r="E7" s="10" t="n">
        <f aca="false">E6*Hypothèses!$C$15</f>
        <v>5.4890625</v>
      </c>
    </row>
    <row r="8" customFormat="false" ht="15" hidden="false" customHeight="false" outlineLevel="0" collapsed="false">
      <c r="A8" s="3" t="s">
        <v>736</v>
      </c>
      <c r="B8" s="10" t="n">
        <f aca="false">B6*Hypothèses!$C$40*Hypothèses!$C$39</f>
        <v>0.90625</v>
      </c>
      <c r="C8" s="10" t="n">
        <f aca="false">C6*Hypothèses!$C$40*Hypothèses!$C$39</f>
        <v>0.90625</v>
      </c>
      <c r="D8" s="10" t="n">
        <f aca="false">0</f>
        <v>0</v>
      </c>
      <c r="E8" s="10" t="n">
        <f aca="false">MAX(0,E6*Hypothèses!$C$39-E7)</f>
        <v>12.8078125</v>
      </c>
    </row>
    <row r="9" customFormat="false" ht="15" hidden="false" customHeight="false" outlineLevel="0" collapsed="false">
      <c r="A9" s="6" t="s">
        <v>737</v>
      </c>
      <c r="B9" s="30" t="n">
        <f aca="false">B6-B7-B8</f>
        <v>60.71875</v>
      </c>
      <c r="C9" s="30" t="n">
        <f aca="false">C6-C7-C8</f>
        <v>63.61875</v>
      </c>
      <c r="D9" s="30" t="n">
        <f aca="false">D6-D7-D8</f>
        <v>67.6984375</v>
      </c>
      <c r="E9" s="30" t="n">
        <f aca="false">E6-E7-E8</f>
        <v>54.890625</v>
      </c>
    </row>
    <row r="11" customFormat="false" ht="15" hidden="false" customHeight="true" outlineLevel="0" collapsed="false">
      <c r="A11" s="7" t="s">
        <v>738</v>
      </c>
      <c r="B11" s="7"/>
      <c r="C11" s="7"/>
      <c r="D11" s="7"/>
      <c r="E11" s="7"/>
    </row>
    <row r="12" customFormat="false" ht="15" hidden="false" customHeight="false" outlineLevel="0" collapsed="false">
      <c r="A12" s="7"/>
      <c r="B12" s="7"/>
      <c r="C12" s="7"/>
      <c r="D12" s="7"/>
      <c r="E12" s="7"/>
    </row>
    <row r="13" customFormat="false" ht="15" hidden="false" customHeight="false" outlineLevel="0" collapsed="false">
      <c r="A13" s="7"/>
      <c r="B13" s="7"/>
      <c r="C13" s="7"/>
      <c r="D13" s="7"/>
      <c r="E13" s="7"/>
    </row>
    <row r="14" customFormat="false" ht="15" hidden="false" customHeight="false" outlineLevel="0" collapsed="false">
      <c r="A14" s="7"/>
      <c r="B14" s="7"/>
      <c r="C14" s="7"/>
      <c r="D14" s="7"/>
      <c r="E14" s="7"/>
    </row>
  </sheetData>
  <mergeCells count="1">
    <mergeCell ref="A11: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8"/>
  </cols>
  <sheetData>
    <row r="1" customFormat="false" ht="17.35" hidden="false" customHeight="false" outlineLevel="0" collapsed="false">
      <c r="A1" s="1" t="s">
        <v>739</v>
      </c>
    </row>
    <row r="3" customFormat="false" ht="23.85" hidden="false" customHeight="false" outlineLevel="0" collapsed="false">
      <c r="A3" s="2" t="s">
        <v>740</v>
      </c>
      <c r="B3" s="2" t="s">
        <v>741</v>
      </c>
      <c r="C3" s="2" t="s">
        <v>742</v>
      </c>
    </row>
    <row r="4" customFormat="false" ht="15" hidden="false" customHeight="false" outlineLevel="0" collapsed="false">
      <c r="A4" s="3" t="s">
        <v>743</v>
      </c>
      <c r="B4" s="21" t="n">
        <v>250</v>
      </c>
      <c r="C4" s="21" t="n">
        <v>350</v>
      </c>
    </row>
    <row r="5" customFormat="false" ht="15" hidden="false" customHeight="false" outlineLevel="0" collapsed="false">
      <c r="A5" s="3" t="s">
        <v>744</v>
      </c>
      <c r="B5" s="21" t="n">
        <v>15</v>
      </c>
      <c r="C5" s="21" t="n">
        <v>15</v>
      </c>
    </row>
    <row r="6" customFormat="false" ht="15" hidden="false" customHeight="false" outlineLevel="0" collapsed="false">
      <c r="A6" s="3" t="s">
        <v>745</v>
      </c>
      <c r="B6" s="21" t="n">
        <v>25</v>
      </c>
      <c r="C6" s="21" t="n">
        <v>30</v>
      </c>
    </row>
    <row r="7" customFormat="false" ht="15" hidden="false" customHeight="false" outlineLevel="0" collapsed="false">
      <c r="A7" s="3" t="s">
        <v>746</v>
      </c>
      <c r="B7" s="21" t="n">
        <v>15</v>
      </c>
      <c r="C7" s="21" t="n">
        <v>20</v>
      </c>
    </row>
    <row r="8" customFormat="false" ht="15" hidden="false" customHeight="false" outlineLevel="0" collapsed="false">
      <c r="A8" s="3" t="s">
        <v>747</v>
      </c>
      <c r="B8" s="21" t="n">
        <v>0</v>
      </c>
      <c r="C8" s="21" t="n">
        <v>40</v>
      </c>
    </row>
    <row r="9" customFormat="false" ht="15" hidden="false" customHeight="false" outlineLevel="0" collapsed="false">
      <c r="A9" s="3" t="s">
        <v>748</v>
      </c>
      <c r="B9" s="21" t="n">
        <v>600</v>
      </c>
      <c r="C9" s="21" t="n">
        <v>1000</v>
      </c>
    </row>
    <row r="10" customFormat="false" ht="15" hidden="false" customHeight="false" outlineLevel="0" collapsed="false">
      <c r="A10" s="3" t="s">
        <v>749</v>
      </c>
      <c r="B10" s="17" t="n">
        <f aca="false">SUM(B4:B7)*(1+Hypothèses!$C$84)+B8</f>
        <v>350.75</v>
      </c>
      <c r="C10" s="17" t="n">
        <f aca="false">SUM(C4:C7)*(1+Hypothèses!$C$84)+C8</f>
        <v>517.25</v>
      </c>
    </row>
    <row r="11" customFormat="false" ht="15" hidden="false" customHeight="false" outlineLevel="0" collapsed="false">
      <c r="A11" s="3" t="s">
        <v>750</v>
      </c>
      <c r="B11" s="17" t="n">
        <f aca="false">SUM(B4:B7)*(1+Hypothèses!$C$84)*Hypothèses!$C$82+B8*Hypothèses!$C$83</f>
        <v>52612500</v>
      </c>
      <c r="C11" s="17" t="n">
        <f aca="false">SUM(C4:C7)*(1+Hypothèses!$C$84)*Hypothèses!$C$82+C8*Hypothèses!$C$83</f>
        <v>86187500</v>
      </c>
    </row>
    <row r="12" customFormat="false" ht="15" hidden="false" customHeight="false" outlineLevel="0" collapsed="false">
      <c r="A12" s="3" t="s">
        <v>751</v>
      </c>
      <c r="B12" s="17" t="n">
        <f aca="false">B9*Hypothèses!$C$88</f>
        <v>36000000</v>
      </c>
      <c r="C12" s="17" t="n">
        <f aca="false">C9*Hypothèses!$C$88</f>
        <v>60000000</v>
      </c>
    </row>
    <row r="13" customFormat="false" ht="15" hidden="false" customHeight="false" outlineLevel="0" collapsed="false">
      <c r="A13" s="3" t="s">
        <v>752</v>
      </c>
      <c r="B13" s="17" t="n">
        <f aca="false">B12*(Hypothèses!$C$24+Hypothèses!$C$25)+MIN(B12,Hypothèses!$C$29)*Hypothèses!$C$33+MAX(0,MIN(B12,Hypothèses!$C$30)-Hypothèses!$C$29)*Hypothèses!$C$34+MAX(0,MIN(B12,Hypothèses!$C$31)-Hypothèses!$C$30)*Hypothèses!$C$35+MAX(0,MIN(B12,Hypothèses!$C$32)-Hypothèses!$C$31)*Hypothèses!$C$36+MAX(0,B12-Hypothèses!$C$32)*Hypothèses!$C$37+B11*Hypothèses!$C$26</f>
        <v>3683625</v>
      </c>
      <c r="C13" s="17" t="n">
        <f aca="false">C12*(Hypothèses!$C$24+Hypothèses!$C$25)+MIN(C12,Hypothèses!$C$29)*Hypothèses!$C$33+MAX(0,MIN(C12,Hypothèses!$C$30)-Hypothèses!$C$29)*Hypothèses!$C$34+MAX(0,MIN(C12,Hypothèses!$C$31)-Hypothèses!$C$30)*Hypothèses!$C$35+MAX(0,MIN(C12,Hypothèses!$C$32)-Hypothèses!$C$31)*Hypothèses!$C$36+MAX(0,C12-Hypothèses!$C$32)*Hypothèses!$C$37+C11*Hypothèses!$C$26</f>
        <v>5854375</v>
      </c>
    </row>
    <row r="14" customFormat="false" ht="15" hidden="false" customHeight="false" outlineLevel="0" collapsed="false">
      <c r="A14" s="3" t="s">
        <v>753</v>
      </c>
      <c r="B14" s="17" t="n">
        <f aca="false">4*SQRT(B9)*Hypothèses!$C$87/(1+Hypothèses!$C$12)</f>
        <v>17297485.2021525</v>
      </c>
      <c r="C14" s="17" t="n">
        <f aca="false">4*SQRT(C9)*Hypothèses!$C$87/(1+Hypothèses!$C$12)</f>
        <v>22330957.3730686</v>
      </c>
    </row>
    <row r="15" customFormat="false" ht="15" hidden="false" customHeight="false" outlineLevel="0" collapsed="false">
      <c r="A15" s="6" t="s">
        <v>754</v>
      </c>
      <c r="B15" s="22" t="n">
        <f aca="false">B11+B12+B13+B14</f>
        <v>109593610.202153</v>
      </c>
      <c r="C15" s="22" t="n">
        <f aca="false">C11+C12+C13+C14</f>
        <v>174372832.373069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50"/>
    <col collapsed="false" customWidth="true" hidden="false" outlineLevel="0" max="5" min="4" style="0" width="14"/>
    <col collapsed="false" customWidth="true" hidden="false" outlineLevel="0" max="7" min="6" style="0" width="18"/>
    <col collapsed="false" customWidth="true" hidden="false" outlineLevel="0" max="8" min="8" style="0" width="10"/>
    <col collapsed="false" customWidth="true" hidden="false" outlineLevel="0" max="9" min="9" style="0" width="44"/>
    <col collapsed="false" customWidth="true" hidden="false" outlineLevel="0" max="10" min="10" style="0" width="60"/>
    <col collapsed="false" customWidth="true" hidden="false" outlineLevel="0" max="11" min="11" style="0" width="80"/>
  </cols>
  <sheetData>
    <row r="1" customFormat="false" ht="17.35" hidden="false" customHeight="false" outlineLevel="0" collapsed="false">
      <c r="A1" s="1" t="s">
        <v>755</v>
      </c>
    </row>
    <row r="3" customFormat="false" ht="15" hidden="false" customHeight="false" outlineLevel="0" collapsed="false">
      <c r="A3" s="2" t="s">
        <v>756</v>
      </c>
      <c r="B3" s="2" t="s">
        <v>757</v>
      </c>
      <c r="C3" s="2" t="s">
        <v>20</v>
      </c>
      <c r="D3" s="2" t="s">
        <v>23</v>
      </c>
      <c r="E3" s="2" t="s">
        <v>24</v>
      </c>
      <c r="F3" s="2" t="s">
        <v>22</v>
      </c>
      <c r="G3" s="2" t="s">
        <v>758</v>
      </c>
      <c r="H3" s="2" t="s">
        <v>759</v>
      </c>
      <c r="I3" s="2" t="s">
        <v>27</v>
      </c>
      <c r="J3" s="2" t="s">
        <v>28</v>
      </c>
      <c r="K3" s="2" t="s">
        <v>760</v>
      </c>
    </row>
    <row r="4" customFormat="false" ht="15" hidden="false" customHeight="false" outlineLevel="0" collapsed="false">
      <c r="A4" s="31" t="s">
        <v>761</v>
      </c>
      <c r="B4" s="31" t="s">
        <v>762</v>
      </c>
      <c r="C4" s="31" t="s">
        <v>763</v>
      </c>
      <c r="D4" s="32" t="n">
        <v>33</v>
      </c>
      <c r="E4" s="32" t="n">
        <v>33</v>
      </c>
      <c r="F4" s="31" t="s">
        <v>37</v>
      </c>
      <c r="G4" s="31" t="s">
        <v>764</v>
      </c>
      <c r="H4" s="31" t="s">
        <v>765</v>
      </c>
      <c r="I4" s="31" t="s">
        <v>766</v>
      </c>
      <c r="J4" s="31" t="s">
        <v>45</v>
      </c>
      <c r="K4" s="31" t="s">
        <v>767</v>
      </c>
    </row>
    <row r="5" customFormat="false" ht="15" hidden="false" customHeight="false" outlineLevel="0" collapsed="false">
      <c r="A5" s="31" t="s">
        <v>761</v>
      </c>
      <c r="B5" s="31" t="s">
        <v>768</v>
      </c>
      <c r="C5" s="31" t="s">
        <v>769</v>
      </c>
      <c r="D5" s="32" t="n">
        <v>27.5</v>
      </c>
      <c r="E5" s="32" t="n">
        <v>27.5</v>
      </c>
      <c r="F5" s="31" t="s">
        <v>37</v>
      </c>
      <c r="G5" s="31" t="s">
        <v>770</v>
      </c>
      <c r="H5" s="31" t="s">
        <v>765</v>
      </c>
      <c r="I5" s="31" t="s">
        <v>766</v>
      </c>
      <c r="J5" s="31" t="s">
        <v>45</v>
      </c>
      <c r="K5" s="31" t="s">
        <v>771</v>
      </c>
    </row>
    <row r="6" customFormat="false" ht="15" hidden="false" customHeight="false" outlineLevel="0" collapsed="false">
      <c r="A6" s="31" t="s">
        <v>761</v>
      </c>
      <c r="B6" s="31" t="s">
        <v>772</v>
      </c>
      <c r="C6" s="31" t="s">
        <v>773</v>
      </c>
      <c r="D6" s="32" t="n">
        <v>2.2</v>
      </c>
      <c r="E6" s="32" t="n">
        <v>2.2</v>
      </c>
      <c r="F6" s="31" t="s">
        <v>774</v>
      </c>
      <c r="G6" s="31" t="s">
        <v>775</v>
      </c>
      <c r="H6" s="31" t="s">
        <v>776</v>
      </c>
      <c r="I6" s="31" t="s">
        <v>777</v>
      </c>
      <c r="J6" s="31" t="s">
        <v>45</v>
      </c>
      <c r="K6" s="31" t="s">
        <v>778</v>
      </c>
    </row>
    <row r="7" customFormat="false" ht="15" hidden="false" customHeight="false" outlineLevel="0" collapsed="false">
      <c r="A7" s="31" t="s">
        <v>761</v>
      </c>
      <c r="B7" s="31" t="s">
        <v>779</v>
      </c>
      <c r="C7" s="31" t="s">
        <v>780</v>
      </c>
      <c r="D7" s="32" t="n">
        <v>50000000</v>
      </c>
      <c r="E7" s="32" t="n">
        <v>50000000</v>
      </c>
      <c r="F7" s="31" t="s">
        <v>2</v>
      </c>
      <c r="G7" s="31" t="s">
        <v>770</v>
      </c>
      <c r="H7" s="31" t="s">
        <v>776</v>
      </c>
      <c r="I7" s="31" t="s">
        <v>781</v>
      </c>
      <c r="J7" s="31" t="s">
        <v>782</v>
      </c>
      <c r="K7" s="31" t="s">
        <v>783</v>
      </c>
    </row>
    <row r="8" customFormat="false" ht="15" hidden="false" customHeight="false" outlineLevel="0" collapsed="false">
      <c r="A8" s="31" t="s">
        <v>761</v>
      </c>
      <c r="B8" s="31" t="s">
        <v>784</v>
      </c>
      <c r="C8" s="31" t="s">
        <v>785</v>
      </c>
      <c r="D8" s="32" t="n">
        <v>19.25</v>
      </c>
      <c r="E8" s="32" t="n">
        <v>19.25</v>
      </c>
      <c r="F8" s="31" t="s">
        <v>37</v>
      </c>
      <c r="G8" s="31" t="s">
        <v>770</v>
      </c>
      <c r="H8" s="31" t="s">
        <v>765</v>
      </c>
      <c r="I8" s="31" t="s">
        <v>786</v>
      </c>
      <c r="J8" s="31" t="s">
        <v>56</v>
      </c>
      <c r="K8" s="31" t="s">
        <v>787</v>
      </c>
    </row>
    <row r="9" customFormat="false" ht="15" hidden="false" customHeight="false" outlineLevel="0" collapsed="false">
      <c r="A9" s="31" t="s">
        <v>761</v>
      </c>
      <c r="B9" s="31" t="s">
        <v>788</v>
      </c>
      <c r="C9" s="31" t="s">
        <v>789</v>
      </c>
      <c r="D9" s="32" t="n">
        <v>0.283</v>
      </c>
      <c r="E9" s="32" t="n">
        <v>0.283</v>
      </c>
      <c r="F9" s="31" t="s">
        <v>790</v>
      </c>
      <c r="G9" s="31" t="s">
        <v>791</v>
      </c>
      <c r="H9" s="31" t="s">
        <v>776</v>
      </c>
      <c r="I9" s="31" t="s">
        <v>792</v>
      </c>
      <c r="J9" s="31" t="s">
        <v>52</v>
      </c>
      <c r="K9" s="31" t="s">
        <v>793</v>
      </c>
    </row>
    <row r="10" customFormat="false" ht="15" hidden="false" customHeight="false" outlineLevel="0" collapsed="false">
      <c r="A10" s="31" t="s">
        <v>761</v>
      </c>
      <c r="B10" s="31" t="s">
        <v>794</v>
      </c>
      <c r="C10" s="31" t="s">
        <v>795</v>
      </c>
      <c r="D10" s="32" t="n">
        <v>0.159</v>
      </c>
      <c r="E10" s="32" t="n">
        <v>0.494</v>
      </c>
      <c r="F10" s="31" t="s">
        <v>790</v>
      </c>
      <c r="G10" s="31" t="s">
        <v>796</v>
      </c>
      <c r="H10" s="31" t="s">
        <v>776</v>
      </c>
      <c r="I10" s="31" t="s">
        <v>797</v>
      </c>
      <c r="J10" s="31" t="s">
        <v>798</v>
      </c>
      <c r="K10" s="31" t="s">
        <v>799</v>
      </c>
    </row>
    <row r="11" customFormat="false" ht="15" hidden="false" customHeight="false" outlineLevel="0" collapsed="false">
      <c r="A11" s="31" t="s">
        <v>761</v>
      </c>
      <c r="B11" s="31" t="s">
        <v>800</v>
      </c>
      <c r="C11" s="31" t="s">
        <v>801</v>
      </c>
      <c r="D11" s="32" t="n">
        <v>16.5</v>
      </c>
      <c r="E11" s="32" t="n">
        <v>16.5</v>
      </c>
      <c r="F11" s="31" t="s">
        <v>37</v>
      </c>
      <c r="G11" s="31" t="s">
        <v>802</v>
      </c>
      <c r="H11" s="31" t="s">
        <v>765</v>
      </c>
      <c r="I11" s="31" t="s">
        <v>803</v>
      </c>
      <c r="J11" s="31" t="s">
        <v>804</v>
      </c>
      <c r="K11" s="31" t="s">
        <v>805</v>
      </c>
    </row>
    <row r="12" customFormat="false" ht="15" hidden="false" customHeight="false" outlineLevel="0" collapsed="false">
      <c r="A12" s="31" t="s">
        <v>761</v>
      </c>
      <c r="B12" s="31" t="s">
        <v>806</v>
      </c>
      <c r="C12" s="31" t="s">
        <v>807</v>
      </c>
      <c r="D12" s="32" t="n">
        <v>10</v>
      </c>
      <c r="E12" s="32" t="n">
        <v>10</v>
      </c>
      <c r="F12" s="31" t="s">
        <v>37</v>
      </c>
      <c r="G12" s="31" t="s">
        <v>808</v>
      </c>
      <c r="H12" s="31" t="s">
        <v>776</v>
      </c>
      <c r="I12" s="31" t="s">
        <v>809</v>
      </c>
      <c r="J12" s="31" t="s">
        <v>64</v>
      </c>
      <c r="K12" s="31" t="s">
        <v>810</v>
      </c>
    </row>
    <row r="13" customFormat="false" ht="15" hidden="false" customHeight="false" outlineLevel="0" collapsed="false">
      <c r="A13" s="31" t="s">
        <v>761</v>
      </c>
      <c r="B13" s="31" t="s">
        <v>811</v>
      </c>
      <c r="C13" s="31" t="s">
        <v>812</v>
      </c>
      <c r="D13" s="32" t="n">
        <v>16.5</v>
      </c>
      <c r="E13" s="32" t="n">
        <v>16.5</v>
      </c>
      <c r="F13" s="31" t="s">
        <v>37</v>
      </c>
      <c r="G13" s="31" t="s">
        <v>802</v>
      </c>
      <c r="H13" s="31" t="s">
        <v>776</v>
      </c>
      <c r="I13" s="31" t="s">
        <v>803</v>
      </c>
      <c r="J13" s="31" t="s">
        <v>804</v>
      </c>
      <c r="K13" s="31" t="s">
        <v>813</v>
      </c>
    </row>
    <row r="14" customFormat="false" ht="15" hidden="false" customHeight="false" outlineLevel="0" collapsed="false">
      <c r="A14" s="31" t="s">
        <v>761</v>
      </c>
      <c r="B14" s="31" t="s">
        <v>814</v>
      </c>
      <c r="C14" s="31" t="s">
        <v>815</v>
      </c>
      <c r="D14" s="32" t="n">
        <v>15</v>
      </c>
      <c r="E14" s="32" t="n">
        <v>15</v>
      </c>
      <c r="F14" s="31" t="s">
        <v>816</v>
      </c>
      <c r="G14" s="31" t="s">
        <v>770</v>
      </c>
      <c r="H14" s="31" t="s">
        <v>765</v>
      </c>
      <c r="I14" s="31" t="s">
        <v>817</v>
      </c>
      <c r="J14" s="31" t="s">
        <v>72</v>
      </c>
      <c r="K14" s="31" t="s">
        <v>818</v>
      </c>
    </row>
    <row r="15" customFormat="false" ht="15" hidden="false" customHeight="false" outlineLevel="0" collapsed="false">
      <c r="A15" s="31" t="s">
        <v>761</v>
      </c>
      <c r="B15" s="31" t="s">
        <v>819</v>
      </c>
      <c r="C15" s="31" t="s">
        <v>820</v>
      </c>
      <c r="D15" s="32" t="n">
        <v>7.5</v>
      </c>
      <c r="E15" s="32" t="n">
        <v>7.5</v>
      </c>
      <c r="F15" s="31" t="s">
        <v>816</v>
      </c>
      <c r="G15" s="31" t="s">
        <v>821</v>
      </c>
      <c r="H15" s="31" t="s">
        <v>765</v>
      </c>
      <c r="I15" s="31" t="s">
        <v>822</v>
      </c>
      <c r="J15" s="31" t="s">
        <v>68</v>
      </c>
      <c r="K15" s="31" t="s">
        <v>823</v>
      </c>
    </row>
    <row r="16" customFormat="false" ht="15" hidden="false" customHeight="false" outlineLevel="0" collapsed="false">
      <c r="A16" s="31" t="s">
        <v>761</v>
      </c>
      <c r="B16" s="31" t="s">
        <v>824</v>
      </c>
      <c r="C16" s="31" t="s">
        <v>825</v>
      </c>
      <c r="D16" s="32" t="n">
        <v>15</v>
      </c>
      <c r="E16" s="32" t="n">
        <v>15</v>
      </c>
      <c r="F16" s="31" t="s">
        <v>816</v>
      </c>
      <c r="G16" s="31" t="s">
        <v>826</v>
      </c>
      <c r="H16" s="31" t="s">
        <v>765</v>
      </c>
      <c r="I16" s="31" t="s">
        <v>827</v>
      </c>
      <c r="J16" s="31" t="s">
        <v>60</v>
      </c>
      <c r="K16" s="31" t="s">
        <v>828</v>
      </c>
    </row>
    <row r="17" customFormat="false" ht="15" hidden="false" customHeight="false" outlineLevel="0" collapsed="false">
      <c r="A17" s="31" t="s">
        <v>761</v>
      </c>
      <c r="B17" s="31" t="s">
        <v>829</v>
      </c>
      <c r="C17" s="31" t="s">
        <v>830</v>
      </c>
      <c r="D17" s="32" t="n">
        <v>15</v>
      </c>
      <c r="E17" s="32" t="n">
        <v>15</v>
      </c>
      <c r="F17" s="31" t="s">
        <v>816</v>
      </c>
      <c r="G17" s="31" t="s">
        <v>831</v>
      </c>
      <c r="H17" s="31" t="s">
        <v>776</v>
      </c>
      <c r="I17" s="31" t="s">
        <v>827</v>
      </c>
      <c r="J17" s="31" t="s">
        <v>60</v>
      </c>
      <c r="K17" s="31" t="s">
        <v>832</v>
      </c>
    </row>
    <row r="18" customFormat="false" ht="15" hidden="false" customHeight="false" outlineLevel="0" collapsed="false">
      <c r="A18" s="31" t="s">
        <v>761</v>
      </c>
      <c r="B18" s="31" t="s">
        <v>833</v>
      </c>
      <c r="C18" s="31" t="s">
        <v>834</v>
      </c>
      <c r="D18" s="32" t="n">
        <v>2.5</v>
      </c>
      <c r="E18" s="32" t="n">
        <v>2.5</v>
      </c>
      <c r="F18" s="31" t="s">
        <v>835</v>
      </c>
      <c r="G18" s="31" t="s">
        <v>836</v>
      </c>
      <c r="H18" s="31" t="s">
        <v>765</v>
      </c>
      <c r="I18" s="31" t="s">
        <v>837</v>
      </c>
      <c r="J18" s="31" t="s">
        <v>76</v>
      </c>
      <c r="K18" s="31" t="s">
        <v>838</v>
      </c>
    </row>
    <row r="19" customFormat="false" ht="15" hidden="false" customHeight="false" outlineLevel="0" collapsed="false">
      <c r="A19" s="31" t="s">
        <v>761</v>
      </c>
      <c r="B19" s="31" t="s">
        <v>839</v>
      </c>
      <c r="C19" s="31" t="s">
        <v>840</v>
      </c>
      <c r="D19" s="32" t="n">
        <v>1</v>
      </c>
      <c r="E19" s="32" t="n">
        <v>1</v>
      </c>
      <c r="F19" s="31" t="s">
        <v>841</v>
      </c>
      <c r="G19" s="31" t="s">
        <v>842</v>
      </c>
      <c r="H19" s="31" t="s">
        <v>776</v>
      </c>
      <c r="I19" s="31" t="s">
        <v>843</v>
      </c>
      <c r="J19" s="31" t="s">
        <v>844</v>
      </c>
      <c r="K19" s="31" t="s">
        <v>845</v>
      </c>
    </row>
    <row r="20" customFormat="false" ht="15" hidden="false" customHeight="false" outlineLevel="0" collapsed="false">
      <c r="A20" s="31" t="s">
        <v>761</v>
      </c>
      <c r="B20" s="31" t="s">
        <v>846</v>
      </c>
      <c r="C20" s="31" t="s">
        <v>847</v>
      </c>
      <c r="D20" s="32" t="n">
        <v>3</v>
      </c>
      <c r="E20" s="32" t="n">
        <v>3</v>
      </c>
      <c r="F20" s="31" t="s">
        <v>848</v>
      </c>
      <c r="G20" s="31" t="s">
        <v>849</v>
      </c>
      <c r="H20" s="31" t="s">
        <v>776</v>
      </c>
      <c r="I20" s="31" t="s">
        <v>850</v>
      </c>
      <c r="J20" s="31" t="s">
        <v>851</v>
      </c>
      <c r="K20" s="31" t="s">
        <v>852</v>
      </c>
    </row>
    <row r="21" customFormat="false" ht="15" hidden="false" customHeight="false" outlineLevel="0" collapsed="false">
      <c r="A21" s="31" t="s">
        <v>761</v>
      </c>
      <c r="B21" s="31" t="s">
        <v>853</v>
      </c>
      <c r="C21" s="31" t="s">
        <v>854</v>
      </c>
      <c r="D21" s="32" t="n">
        <v>5</v>
      </c>
      <c r="E21" s="32" t="n">
        <v>30</v>
      </c>
      <c r="F21" s="31" t="s">
        <v>855</v>
      </c>
      <c r="G21" s="31" t="s">
        <v>856</v>
      </c>
      <c r="H21" s="31" t="s">
        <v>776</v>
      </c>
      <c r="I21" s="31" t="s">
        <v>857</v>
      </c>
      <c r="J21" s="31" t="s">
        <v>858</v>
      </c>
      <c r="K21" s="31" t="s">
        <v>859</v>
      </c>
    </row>
    <row r="22" customFormat="false" ht="15" hidden="false" customHeight="false" outlineLevel="0" collapsed="false">
      <c r="A22" s="31" t="s">
        <v>761</v>
      </c>
      <c r="B22" s="31" t="s">
        <v>860</v>
      </c>
      <c r="C22" s="31" t="s">
        <v>861</v>
      </c>
      <c r="D22" s="32" t="n">
        <v>0</v>
      </c>
      <c r="E22" s="32" t="n">
        <v>40</v>
      </c>
      <c r="F22" s="31" t="s">
        <v>862</v>
      </c>
      <c r="G22" s="31" t="s">
        <v>863</v>
      </c>
      <c r="H22" s="31" t="s">
        <v>765</v>
      </c>
      <c r="I22" s="31" t="s">
        <v>864</v>
      </c>
      <c r="J22" s="31" t="s">
        <v>865</v>
      </c>
      <c r="K22" s="31" t="s">
        <v>866</v>
      </c>
    </row>
    <row r="23" customFormat="false" ht="15" hidden="false" customHeight="false" outlineLevel="0" collapsed="false">
      <c r="A23" s="31" t="s">
        <v>761</v>
      </c>
      <c r="B23" s="31" t="s">
        <v>867</v>
      </c>
      <c r="C23" s="31" t="s">
        <v>868</v>
      </c>
      <c r="D23" s="32" t="n">
        <v>10</v>
      </c>
      <c r="E23" s="32" t="n">
        <v>10</v>
      </c>
      <c r="F23" s="31" t="s">
        <v>855</v>
      </c>
      <c r="G23" s="31" t="s">
        <v>869</v>
      </c>
      <c r="H23" s="31" t="s">
        <v>870</v>
      </c>
      <c r="I23" s="31" t="s">
        <v>871</v>
      </c>
      <c r="J23" s="31" t="s">
        <v>80</v>
      </c>
      <c r="K23" s="31" t="s">
        <v>872</v>
      </c>
    </row>
    <row r="24" customFormat="false" ht="15" hidden="false" customHeight="false" outlineLevel="0" collapsed="false">
      <c r="A24" s="31" t="s">
        <v>761</v>
      </c>
      <c r="B24" s="31" t="s">
        <v>873</v>
      </c>
      <c r="C24" s="31" t="s">
        <v>874</v>
      </c>
      <c r="D24" s="32" t="n">
        <v>20</v>
      </c>
      <c r="E24" s="32" t="n">
        <v>20</v>
      </c>
      <c r="F24" s="31" t="s">
        <v>862</v>
      </c>
      <c r="G24" s="31" t="s">
        <v>875</v>
      </c>
      <c r="H24" s="31" t="s">
        <v>870</v>
      </c>
      <c r="I24" s="31" t="s">
        <v>876</v>
      </c>
      <c r="J24" s="31" t="s">
        <v>84</v>
      </c>
      <c r="K24" s="31" t="s">
        <v>877</v>
      </c>
    </row>
    <row r="25" customFormat="false" ht="15" hidden="false" customHeight="false" outlineLevel="0" collapsed="false">
      <c r="A25" s="31" t="s">
        <v>761</v>
      </c>
      <c r="B25" s="31" t="s">
        <v>878</v>
      </c>
      <c r="C25" s="31" t="s">
        <v>879</v>
      </c>
      <c r="D25" s="32" t="n">
        <v>5</v>
      </c>
      <c r="E25" s="32" t="n">
        <v>30</v>
      </c>
      <c r="F25" s="31" t="s">
        <v>855</v>
      </c>
      <c r="G25" s="31" t="s">
        <v>875</v>
      </c>
      <c r="H25" s="31" t="s">
        <v>870</v>
      </c>
      <c r="I25" s="31" t="s">
        <v>880</v>
      </c>
      <c r="J25" s="31" t="s">
        <v>881</v>
      </c>
      <c r="K25" s="31" t="s">
        <v>882</v>
      </c>
    </row>
    <row r="26" customFormat="false" ht="15" hidden="false" customHeight="false" outlineLevel="0" collapsed="false">
      <c r="A26" s="31" t="s">
        <v>761</v>
      </c>
      <c r="B26" s="31" t="s">
        <v>883</v>
      </c>
      <c r="C26" s="31" t="s">
        <v>884</v>
      </c>
      <c r="D26" s="32" t="n">
        <v>1</v>
      </c>
      <c r="E26" s="32" t="n">
        <v>1</v>
      </c>
      <c r="F26" s="31" t="s">
        <v>855</v>
      </c>
      <c r="G26" s="31" t="s">
        <v>770</v>
      </c>
      <c r="H26" s="31" t="s">
        <v>776</v>
      </c>
      <c r="I26" s="31" t="s">
        <v>885</v>
      </c>
      <c r="J26" s="31" t="s">
        <v>88</v>
      </c>
      <c r="K26" s="31" t="s">
        <v>886</v>
      </c>
    </row>
    <row r="27" customFormat="false" ht="15" hidden="false" customHeight="false" outlineLevel="0" collapsed="false">
      <c r="A27" s="31" t="s">
        <v>761</v>
      </c>
      <c r="B27" s="31" t="s">
        <v>887</v>
      </c>
      <c r="C27" s="31" t="s">
        <v>888</v>
      </c>
      <c r="D27" s="32" t="n">
        <v>0.4</v>
      </c>
      <c r="E27" s="32" t="n">
        <v>0.4</v>
      </c>
      <c r="F27" s="31" t="s">
        <v>862</v>
      </c>
      <c r="G27" s="31" t="s">
        <v>889</v>
      </c>
      <c r="H27" s="31" t="s">
        <v>870</v>
      </c>
      <c r="I27" s="31" t="s">
        <v>890</v>
      </c>
      <c r="J27" s="31" t="s">
        <v>92</v>
      </c>
      <c r="K27" s="31" t="s">
        <v>891</v>
      </c>
    </row>
    <row r="28" customFormat="false" ht="15" hidden="false" customHeight="false" outlineLevel="0" collapsed="false">
      <c r="A28" s="31" t="s">
        <v>761</v>
      </c>
      <c r="B28" s="31" t="s">
        <v>892</v>
      </c>
      <c r="C28" s="31" t="s">
        <v>893</v>
      </c>
      <c r="D28" s="32" t="n">
        <v>1</v>
      </c>
      <c r="E28" s="32" t="n">
        <v>1</v>
      </c>
      <c r="F28" s="31" t="s">
        <v>894</v>
      </c>
      <c r="G28" s="31" t="s">
        <v>895</v>
      </c>
      <c r="H28" s="31" t="s">
        <v>776</v>
      </c>
      <c r="I28" s="31" t="s">
        <v>896</v>
      </c>
      <c r="J28" s="31" t="s">
        <v>96</v>
      </c>
      <c r="K28" s="31" t="s">
        <v>897</v>
      </c>
    </row>
    <row r="29" customFormat="false" ht="15" hidden="false" customHeight="false" outlineLevel="0" collapsed="false">
      <c r="A29" s="31" t="s">
        <v>761</v>
      </c>
      <c r="B29" s="31" t="s">
        <v>898</v>
      </c>
      <c r="C29" s="31" t="s">
        <v>899</v>
      </c>
      <c r="D29" s="32" t="n">
        <v>2</v>
      </c>
      <c r="E29" s="32" t="n">
        <v>10</v>
      </c>
      <c r="F29" s="31" t="s">
        <v>900</v>
      </c>
      <c r="G29" s="31" t="s">
        <v>901</v>
      </c>
      <c r="H29" s="31" t="s">
        <v>870</v>
      </c>
      <c r="I29" s="31" t="s">
        <v>902</v>
      </c>
      <c r="J29" s="31" t="s">
        <v>903</v>
      </c>
      <c r="K29" s="31" t="s">
        <v>904</v>
      </c>
    </row>
    <row r="30" customFormat="false" ht="15" hidden="false" customHeight="false" outlineLevel="0" collapsed="false">
      <c r="A30" s="31" t="s">
        <v>761</v>
      </c>
      <c r="B30" s="31" t="s">
        <v>905</v>
      </c>
      <c r="C30" s="31" t="s">
        <v>906</v>
      </c>
      <c r="D30" s="32" t="n">
        <v>12.5</v>
      </c>
      <c r="E30" s="32" t="n">
        <v>12.5</v>
      </c>
      <c r="F30" s="31" t="s">
        <v>37</v>
      </c>
      <c r="G30" s="31" t="s">
        <v>907</v>
      </c>
      <c r="H30" s="31" t="s">
        <v>776</v>
      </c>
      <c r="I30" s="31" t="s">
        <v>908</v>
      </c>
      <c r="J30" s="31" t="s">
        <v>909</v>
      </c>
      <c r="K30" s="31" t="s">
        <v>910</v>
      </c>
    </row>
    <row r="31" customFormat="false" ht="15" hidden="false" customHeight="false" outlineLevel="0" collapsed="false">
      <c r="A31" s="31" t="s">
        <v>761</v>
      </c>
      <c r="B31" s="31" t="s">
        <v>911</v>
      </c>
      <c r="C31" s="31" t="s">
        <v>912</v>
      </c>
      <c r="D31" s="32" t="n">
        <v>25</v>
      </c>
      <c r="E31" s="32" t="n">
        <v>25</v>
      </c>
      <c r="F31" s="31" t="s">
        <v>37</v>
      </c>
      <c r="G31" s="31" t="s">
        <v>913</v>
      </c>
      <c r="H31" s="31" t="s">
        <v>776</v>
      </c>
      <c r="I31" s="31" t="s">
        <v>914</v>
      </c>
      <c r="J31" s="31" t="s">
        <v>909</v>
      </c>
      <c r="K31" s="31" t="s">
        <v>915</v>
      </c>
    </row>
    <row r="32" customFormat="false" ht="15" hidden="false" customHeight="false" outlineLevel="0" collapsed="false">
      <c r="A32" s="31" t="s">
        <v>761</v>
      </c>
      <c r="B32" s="31" t="s">
        <v>916</v>
      </c>
      <c r="C32" s="31" t="s">
        <v>917</v>
      </c>
      <c r="D32" s="32" t="n">
        <v>29813</v>
      </c>
      <c r="E32" s="32" t="n">
        <v>29813</v>
      </c>
      <c r="F32" s="31" t="s">
        <v>918</v>
      </c>
      <c r="G32" s="31" t="s">
        <v>919</v>
      </c>
      <c r="H32" s="31" t="s">
        <v>776</v>
      </c>
      <c r="I32" s="31" t="s">
        <v>920</v>
      </c>
      <c r="J32" s="31" t="s">
        <v>921</v>
      </c>
      <c r="K32" s="31" t="s">
        <v>922</v>
      </c>
    </row>
    <row r="33" customFormat="false" ht="15" hidden="false" customHeight="false" outlineLevel="0" collapsed="false">
      <c r="A33" s="31" t="s">
        <v>761</v>
      </c>
      <c r="B33" s="31" t="s">
        <v>923</v>
      </c>
      <c r="C33" s="31" t="s">
        <v>924</v>
      </c>
      <c r="D33" s="32" t="n">
        <v>5</v>
      </c>
      <c r="E33" s="32" t="n">
        <v>5</v>
      </c>
      <c r="F33" s="31" t="s">
        <v>925</v>
      </c>
      <c r="G33" s="31" t="s">
        <v>926</v>
      </c>
      <c r="H33" s="31" t="s">
        <v>776</v>
      </c>
      <c r="I33" s="31" t="s">
        <v>927</v>
      </c>
      <c r="J33" s="31" t="s">
        <v>104</v>
      </c>
      <c r="K33" s="31" t="s">
        <v>928</v>
      </c>
    </row>
    <row r="34" customFormat="false" ht="15" hidden="false" customHeight="false" outlineLevel="0" collapsed="false">
      <c r="A34" s="31" t="s">
        <v>761</v>
      </c>
      <c r="B34" s="31" t="s">
        <v>929</v>
      </c>
      <c r="C34" s="31" t="s">
        <v>930</v>
      </c>
      <c r="D34" s="32" t="n">
        <v>10</v>
      </c>
      <c r="E34" s="32" t="n">
        <v>10</v>
      </c>
      <c r="F34" s="31" t="s">
        <v>925</v>
      </c>
      <c r="G34" s="31" t="s">
        <v>931</v>
      </c>
      <c r="H34" s="31" t="s">
        <v>776</v>
      </c>
      <c r="I34" s="31" t="s">
        <v>927</v>
      </c>
      <c r="J34" s="31" t="s">
        <v>104</v>
      </c>
      <c r="K34" s="31" t="s">
        <v>932</v>
      </c>
    </row>
    <row r="35" customFormat="false" ht="15" hidden="false" customHeight="false" outlineLevel="0" collapsed="false">
      <c r="A35" s="31" t="s">
        <v>761</v>
      </c>
      <c r="B35" s="31" t="s">
        <v>933</v>
      </c>
      <c r="C35" s="31" t="s">
        <v>934</v>
      </c>
      <c r="D35" s="32" t="n">
        <v>2</v>
      </c>
      <c r="E35" s="32" t="n">
        <v>2</v>
      </c>
      <c r="F35" s="31" t="s">
        <v>935</v>
      </c>
      <c r="G35" s="31" t="s">
        <v>936</v>
      </c>
      <c r="H35" s="31" t="s">
        <v>776</v>
      </c>
      <c r="I35" s="31" t="s">
        <v>937</v>
      </c>
      <c r="J35" s="31" t="s">
        <v>108</v>
      </c>
      <c r="K35" s="31" t="s">
        <v>938</v>
      </c>
    </row>
    <row r="36" customFormat="false" ht="15" hidden="false" customHeight="false" outlineLevel="0" collapsed="false">
      <c r="A36" s="31" t="s">
        <v>761</v>
      </c>
      <c r="B36" s="31" t="s">
        <v>939</v>
      </c>
      <c r="C36" s="31" t="s">
        <v>940</v>
      </c>
      <c r="D36" s="32" t="n">
        <v>0.5</v>
      </c>
      <c r="E36" s="32" t="n">
        <v>4</v>
      </c>
      <c r="F36" s="31" t="s">
        <v>941</v>
      </c>
      <c r="G36" s="31" t="s">
        <v>942</v>
      </c>
      <c r="H36" s="31" t="s">
        <v>776</v>
      </c>
      <c r="I36" s="31" t="s">
        <v>943</v>
      </c>
      <c r="J36" s="31" t="s">
        <v>130</v>
      </c>
      <c r="K36" s="31" t="s">
        <v>944</v>
      </c>
    </row>
    <row r="37" customFormat="false" ht="15" hidden="false" customHeight="false" outlineLevel="0" collapsed="false">
      <c r="A37" s="31" t="s">
        <v>761</v>
      </c>
      <c r="B37" s="31" t="s">
        <v>945</v>
      </c>
      <c r="C37" s="31" t="s">
        <v>946</v>
      </c>
      <c r="D37" s="32" t="n">
        <v>1</v>
      </c>
      <c r="E37" s="32" t="n">
        <v>1</v>
      </c>
      <c r="F37" s="31" t="s">
        <v>947</v>
      </c>
      <c r="G37" s="31" t="s">
        <v>948</v>
      </c>
      <c r="H37" s="31" t="s">
        <v>870</v>
      </c>
      <c r="I37" s="31" t="s">
        <v>949</v>
      </c>
      <c r="J37" s="31" t="s">
        <v>112</v>
      </c>
      <c r="K37" s="31" t="s">
        <v>950</v>
      </c>
    </row>
    <row r="38" customFormat="false" ht="15" hidden="false" customHeight="false" outlineLevel="0" collapsed="false">
      <c r="A38" s="31" t="s">
        <v>761</v>
      </c>
      <c r="B38" s="31" t="s">
        <v>113</v>
      </c>
      <c r="C38" s="31" t="s">
        <v>951</v>
      </c>
      <c r="D38" s="32" t="n">
        <v>0.1</v>
      </c>
      <c r="E38" s="32" t="n">
        <v>0.1</v>
      </c>
      <c r="F38" s="31" t="s">
        <v>952</v>
      </c>
      <c r="G38" s="31" t="s">
        <v>953</v>
      </c>
      <c r="H38" s="31" t="s">
        <v>776</v>
      </c>
      <c r="I38" s="31" t="s">
        <v>954</v>
      </c>
      <c r="J38" s="31" t="s">
        <v>116</v>
      </c>
      <c r="K38" s="31" t="s">
        <v>955</v>
      </c>
    </row>
    <row r="39" customFormat="false" ht="15" hidden="false" customHeight="false" outlineLevel="0" collapsed="false">
      <c r="A39" s="31" t="s">
        <v>761</v>
      </c>
      <c r="B39" s="31" t="s">
        <v>956</v>
      </c>
      <c r="C39" s="31" t="s">
        <v>957</v>
      </c>
      <c r="D39" s="32" t="n">
        <v>100000</v>
      </c>
      <c r="E39" s="32" t="n">
        <v>100000</v>
      </c>
      <c r="F39" s="31" t="s">
        <v>2</v>
      </c>
      <c r="G39" s="31" t="s">
        <v>958</v>
      </c>
      <c r="H39" s="31" t="s">
        <v>765</v>
      </c>
      <c r="I39" s="31" t="s">
        <v>959</v>
      </c>
      <c r="J39" s="31" t="s">
        <v>960</v>
      </c>
      <c r="K39" s="31" t="s">
        <v>961</v>
      </c>
    </row>
    <row r="40" customFormat="false" ht="15" hidden="false" customHeight="false" outlineLevel="0" collapsed="false">
      <c r="A40" s="31" t="s">
        <v>761</v>
      </c>
      <c r="B40" s="31" t="s">
        <v>962</v>
      </c>
      <c r="C40" s="31" t="s">
        <v>963</v>
      </c>
      <c r="D40" s="32" t="n">
        <v>10000000</v>
      </c>
      <c r="E40" s="32" t="n">
        <v>10000000</v>
      </c>
      <c r="F40" s="31" t="s">
        <v>2</v>
      </c>
      <c r="G40" s="31" t="s">
        <v>964</v>
      </c>
      <c r="H40" s="31" t="s">
        <v>765</v>
      </c>
      <c r="I40" s="31" t="s">
        <v>965</v>
      </c>
      <c r="J40" s="31" t="s">
        <v>966</v>
      </c>
      <c r="K40" s="31" t="s">
        <v>967</v>
      </c>
    </row>
    <row r="41" customFormat="false" ht="15" hidden="false" customHeight="false" outlineLevel="0" collapsed="false">
      <c r="A41" s="31" t="s">
        <v>761</v>
      </c>
      <c r="B41" s="31" t="s">
        <v>968</v>
      </c>
      <c r="C41" s="31" t="s">
        <v>969</v>
      </c>
      <c r="D41" s="32" t="n">
        <v>41500</v>
      </c>
      <c r="E41" s="32" t="n">
        <v>69625</v>
      </c>
      <c r="F41" s="31" t="s">
        <v>2</v>
      </c>
      <c r="G41" s="31" t="s">
        <v>875</v>
      </c>
      <c r="H41" s="31" t="s">
        <v>870</v>
      </c>
      <c r="I41" s="31" t="s">
        <v>970</v>
      </c>
      <c r="J41" s="31" t="s">
        <v>971</v>
      </c>
      <c r="K41" s="31" t="s">
        <v>972</v>
      </c>
    </row>
    <row r="42" customFormat="false" ht="15" hidden="false" customHeight="false" outlineLevel="0" collapsed="false">
      <c r="A42" s="31" t="s">
        <v>761</v>
      </c>
      <c r="B42" s="31" t="s">
        <v>973</v>
      </c>
      <c r="C42" s="31" t="s">
        <v>974</v>
      </c>
      <c r="D42" s="32" t="n">
        <v>15</v>
      </c>
      <c r="E42" s="32" t="n">
        <v>15</v>
      </c>
      <c r="F42" s="31" t="s">
        <v>37</v>
      </c>
      <c r="G42" s="31" t="s">
        <v>975</v>
      </c>
      <c r="H42" s="31" t="s">
        <v>776</v>
      </c>
      <c r="I42" s="31" t="s">
        <v>976</v>
      </c>
      <c r="J42" s="31" t="s">
        <v>977</v>
      </c>
      <c r="K42" s="31" t="s">
        <v>978</v>
      </c>
    </row>
    <row r="43" customFormat="false" ht="15" hidden="false" customHeight="false" outlineLevel="0" collapsed="false">
      <c r="A43" s="31" t="s">
        <v>761</v>
      </c>
      <c r="B43" s="31" t="s">
        <v>979</v>
      </c>
      <c r="C43" s="31" t="s">
        <v>980</v>
      </c>
      <c r="D43" s="32" t="n">
        <v>1000000000</v>
      </c>
      <c r="E43" s="32" t="n">
        <v>5000000000</v>
      </c>
      <c r="F43" s="31" t="s">
        <v>981</v>
      </c>
      <c r="G43" s="31" t="s">
        <v>982</v>
      </c>
      <c r="H43" s="31" t="s">
        <v>776</v>
      </c>
      <c r="I43" s="31" t="s">
        <v>983</v>
      </c>
      <c r="J43" s="31" t="s">
        <v>984</v>
      </c>
      <c r="K43" s="31" t="s">
        <v>985</v>
      </c>
    </row>
    <row r="44" customFormat="false" ht="15" hidden="false" customHeight="false" outlineLevel="0" collapsed="false">
      <c r="A44" s="31" t="s">
        <v>986</v>
      </c>
      <c r="B44" s="31" t="s">
        <v>987</v>
      </c>
      <c r="C44" s="31" t="s">
        <v>988</v>
      </c>
      <c r="D44" s="32" t="n">
        <v>33.83</v>
      </c>
      <c r="E44" s="32" t="n">
        <v>35.59</v>
      </c>
      <c r="F44" s="31" t="s">
        <v>989</v>
      </c>
      <c r="G44" s="31" t="s">
        <v>770</v>
      </c>
      <c r="H44" s="31" t="s">
        <v>776</v>
      </c>
      <c r="I44" s="31" t="s">
        <v>990</v>
      </c>
      <c r="J44" s="31" t="s">
        <v>991</v>
      </c>
      <c r="K44" s="31" t="s">
        <v>992</v>
      </c>
    </row>
    <row r="45" customFormat="false" ht="15" hidden="false" customHeight="false" outlineLevel="0" collapsed="false">
      <c r="A45" s="31" t="s">
        <v>986</v>
      </c>
      <c r="B45" s="31" t="s">
        <v>993</v>
      </c>
      <c r="C45" s="31" t="s">
        <v>994</v>
      </c>
      <c r="D45" s="32" t="n">
        <v>19.33</v>
      </c>
      <c r="E45" s="32" t="n">
        <v>20.34</v>
      </c>
      <c r="F45" s="31" t="s">
        <v>989</v>
      </c>
      <c r="G45" s="31" t="s">
        <v>770</v>
      </c>
      <c r="H45" s="31" t="s">
        <v>776</v>
      </c>
      <c r="I45" s="31" t="s">
        <v>995</v>
      </c>
      <c r="J45" s="31" t="s">
        <v>996</v>
      </c>
      <c r="K45" s="31" t="s">
        <v>997</v>
      </c>
    </row>
    <row r="46" customFormat="false" ht="15" hidden="false" customHeight="false" outlineLevel="0" collapsed="false">
      <c r="A46" s="31" t="s">
        <v>986</v>
      </c>
      <c r="B46" s="31" t="s">
        <v>998</v>
      </c>
      <c r="C46" s="31" t="s">
        <v>999</v>
      </c>
      <c r="D46" s="32" t="n">
        <v>199</v>
      </c>
      <c r="E46" s="32" t="n">
        <v>199</v>
      </c>
      <c r="F46" s="31" t="s">
        <v>1000</v>
      </c>
      <c r="G46" s="31" t="s">
        <v>875</v>
      </c>
      <c r="H46" s="31" t="s">
        <v>765</v>
      </c>
      <c r="I46" s="31" t="s">
        <v>1001</v>
      </c>
      <c r="J46" s="31" t="s">
        <v>1002</v>
      </c>
      <c r="K46" s="31" t="s">
        <v>1003</v>
      </c>
    </row>
    <row r="47" customFormat="false" ht="15" hidden="false" customHeight="false" outlineLevel="0" collapsed="false">
      <c r="A47" s="31" t="s">
        <v>986</v>
      </c>
      <c r="B47" s="31" t="s">
        <v>1004</v>
      </c>
      <c r="C47" s="31" t="s">
        <v>1005</v>
      </c>
      <c r="D47" s="32" t="n">
        <v>252.16</v>
      </c>
      <c r="E47" s="32" t="n">
        <v>291.96</v>
      </c>
      <c r="F47" s="31" t="s">
        <v>3</v>
      </c>
      <c r="G47" s="31" t="s">
        <v>875</v>
      </c>
      <c r="H47" s="31" t="s">
        <v>776</v>
      </c>
      <c r="I47" s="31" t="s">
        <v>1006</v>
      </c>
      <c r="J47" s="31" t="s">
        <v>1007</v>
      </c>
      <c r="K47" s="31" t="s">
        <v>1008</v>
      </c>
    </row>
    <row r="48" customFormat="false" ht="15" hidden="false" customHeight="false" outlineLevel="0" collapsed="false">
      <c r="A48" s="31" t="s">
        <v>986</v>
      </c>
      <c r="B48" s="31" t="s">
        <v>1009</v>
      </c>
      <c r="C48" s="31" t="s">
        <v>1010</v>
      </c>
      <c r="D48" s="32" t="n">
        <v>200</v>
      </c>
      <c r="E48" s="32" t="n">
        <v>2500</v>
      </c>
      <c r="F48" s="31" t="s">
        <v>1000</v>
      </c>
      <c r="G48" s="31" t="s">
        <v>875</v>
      </c>
      <c r="H48" s="31" t="s">
        <v>776</v>
      </c>
      <c r="I48" s="31" t="s">
        <v>1011</v>
      </c>
      <c r="J48" s="31" t="s">
        <v>1012</v>
      </c>
      <c r="K48" s="31" t="s">
        <v>1013</v>
      </c>
    </row>
    <row r="49" customFormat="false" ht="15" hidden="false" customHeight="false" outlineLevel="0" collapsed="false">
      <c r="A49" s="31" t="s">
        <v>986</v>
      </c>
      <c r="B49" s="31" t="s">
        <v>762</v>
      </c>
      <c r="C49" s="31" t="s">
        <v>1014</v>
      </c>
      <c r="D49" s="32" t="n">
        <v>25</v>
      </c>
      <c r="E49" s="32" t="n">
        <v>25</v>
      </c>
      <c r="F49" s="31" t="s">
        <v>37</v>
      </c>
      <c r="G49" s="31" t="s">
        <v>1015</v>
      </c>
      <c r="H49" s="31" t="s">
        <v>765</v>
      </c>
      <c r="I49" s="31" t="s">
        <v>1016</v>
      </c>
      <c r="J49" s="31" t="s">
        <v>143</v>
      </c>
      <c r="K49" s="31" t="s">
        <v>1017</v>
      </c>
    </row>
    <row r="50" customFormat="false" ht="15" hidden="false" customHeight="false" outlineLevel="0" collapsed="false">
      <c r="A50" s="31" t="s">
        <v>986</v>
      </c>
      <c r="B50" s="31" t="s">
        <v>768</v>
      </c>
      <c r="C50" s="31" t="s">
        <v>1018</v>
      </c>
      <c r="D50" s="32" t="n">
        <v>42500</v>
      </c>
      <c r="E50" s="32" t="n">
        <v>42500</v>
      </c>
      <c r="F50" s="31" t="s">
        <v>1019</v>
      </c>
      <c r="G50" s="31" t="s">
        <v>875</v>
      </c>
      <c r="H50" s="31" t="s">
        <v>765</v>
      </c>
      <c r="I50" s="31" t="s">
        <v>1020</v>
      </c>
      <c r="J50" s="31" t="s">
        <v>143</v>
      </c>
      <c r="K50" s="31" t="s">
        <v>1021</v>
      </c>
    </row>
    <row r="51" customFormat="false" ht="15" hidden="false" customHeight="false" outlineLevel="0" collapsed="false">
      <c r="A51" s="31" t="s">
        <v>986</v>
      </c>
      <c r="B51" s="31" t="s">
        <v>1022</v>
      </c>
      <c r="C51" s="31" t="s">
        <v>1023</v>
      </c>
      <c r="D51" s="32" t="n">
        <v>10000000</v>
      </c>
      <c r="E51" s="32" t="n">
        <v>10000000</v>
      </c>
      <c r="F51" s="31" t="s">
        <v>1024</v>
      </c>
      <c r="G51" s="31" t="s">
        <v>875</v>
      </c>
      <c r="H51" s="31" t="s">
        <v>765</v>
      </c>
      <c r="I51" s="31" t="s">
        <v>1025</v>
      </c>
      <c r="J51" s="31" t="s">
        <v>1026</v>
      </c>
      <c r="K51" s="31" t="s">
        <v>1027</v>
      </c>
    </row>
    <row r="52" customFormat="false" ht="15" hidden="false" customHeight="false" outlineLevel="0" collapsed="false">
      <c r="A52" s="31" t="s">
        <v>986</v>
      </c>
      <c r="B52" s="31" t="s">
        <v>1028</v>
      </c>
      <c r="C52" s="31" t="s">
        <v>1029</v>
      </c>
      <c r="D52" s="32" t="n">
        <v>250</v>
      </c>
      <c r="E52" s="32" t="n">
        <v>7769</v>
      </c>
      <c r="F52" s="31" t="s">
        <v>1030</v>
      </c>
      <c r="G52" s="31" t="s">
        <v>875</v>
      </c>
      <c r="H52" s="31" t="s">
        <v>776</v>
      </c>
      <c r="I52" s="31" t="s">
        <v>1031</v>
      </c>
      <c r="J52" s="31" t="s">
        <v>1032</v>
      </c>
      <c r="K52" s="31" t="s">
        <v>1033</v>
      </c>
    </row>
    <row r="53" customFormat="false" ht="15" hidden="false" customHeight="false" outlineLevel="0" collapsed="false">
      <c r="A53" s="31" t="s">
        <v>986</v>
      </c>
      <c r="B53" s="31" t="s">
        <v>1034</v>
      </c>
      <c r="C53" s="31" t="s">
        <v>1035</v>
      </c>
      <c r="D53" s="32" t="n">
        <v>50</v>
      </c>
      <c r="E53" s="32" t="n">
        <v>100</v>
      </c>
      <c r="F53" s="31" t="s">
        <v>1036</v>
      </c>
      <c r="G53" s="31" t="s">
        <v>875</v>
      </c>
      <c r="H53" s="31" t="s">
        <v>776</v>
      </c>
      <c r="I53" s="31" t="s">
        <v>1037</v>
      </c>
      <c r="J53" s="31" t="s">
        <v>1038</v>
      </c>
      <c r="K53" s="31" t="s">
        <v>1039</v>
      </c>
    </row>
    <row r="54" customFormat="false" ht="15" hidden="false" customHeight="false" outlineLevel="0" collapsed="false">
      <c r="A54" s="31" t="s">
        <v>986</v>
      </c>
      <c r="B54" s="31" t="s">
        <v>1040</v>
      </c>
      <c r="C54" s="31" t="s">
        <v>1041</v>
      </c>
      <c r="D54" s="32" t="n">
        <v>1801.8</v>
      </c>
      <c r="E54" s="32" t="n">
        <v>1801.8</v>
      </c>
      <c r="F54" s="31" t="s">
        <v>1042</v>
      </c>
      <c r="G54" s="31" t="s">
        <v>1043</v>
      </c>
      <c r="H54" s="31" t="s">
        <v>765</v>
      </c>
      <c r="I54" s="31" t="s">
        <v>1044</v>
      </c>
      <c r="J54" s="31" t="s">
        <v>1045</v>
      </c>
      <c r="K54" s="31" t="s">
        <v>1046</v>
      </c>
    </row>
    <row r="55" customFormat="false" ht="15" hidden="false" customHeight="false" outlineLevel="0" collapsed="false">
      <c r="A55" s="31" t="s">
        <v>986</v>
      </c>
      <c r="B55" s="31" t="s">
        <v>1047</v>
      </c>
      <c r="C55" s="31" t="s">
        <v>1048</v>
      </c>
      <c r="D55" s="32" t="n">
        <v>1823.03</v>
      </c>
      <c r="E55" s="32" t="n">
        <v>1823.03</v>
      </c>
      <c r="F55" s="31" t="s">
        <v>1042</v>
      </c>
      <c r="G55" s="31" t="s">
        <v>1049</v>
      </c>
      <c r="H55" s="31" t="s">
        <v>765</v>
      </c>
      <c r="I55" s="31" t="s">
        <v>1050</v>
      </c>
      <c r="J55" s="31" t="s">
        <v>1051</v>
      </c>
      <c r="K55" s="31" t="s">
        <v>1052</v>
      </c>
    </row>
    <row r="56" customFormat="false" ht="15" hidden="false" customHeight="false" outlineLevel="0" collapsed="false">
      <c r="A56" s="31" t="s">
        <v>986</v>
      </c>
      <c r="B56" s="31" t="s">
        <v>1053</v>
      </c>
      <c r="C56" s="31" t="s">
        <v>1054</v>
      </c>
      <c r="D56" s="32" t="n">
        <v>1867.02</v>
      </c>
      <c r="E56" s="32" t="n">
        <v>1867.02</v>
      </c>
      <c r="F56" s="31" t="s">
        <v>1042</v>
      </c>
      <c r="G56" s="31" t="s">
        <v>1055</v>
      </c>
      <c r="H56" s="31" t="s">
        <v>765</v>
      </c>
      <c r="I56" s="31" t="s">
        <v>1056</v>
      </c>
      <c r="J56" s="31" t="s">
        <v>262</v>
      </c>
      <c r="K56" s="31" t="s">
        <v>1057</v>
      </c>
    </row>
    <row r="57" customFormat="false" ht="15" hidden="false" customHeight="false" outlineLevel="0" collapsed="false">
      <c r="A57" s="31" t="s">
        <v>986</v>
      </c>
      <c r="B57" s="31" t="s">
        <v>1058</v>
      </c>
      <c r="C57" s="31" t="s">
        <v>1059</v>
      </c>
      <c r="D57" s="32" t="n">
        <v>38</v>
      </c>
      <c r="E57" s="32" t="n">
        <v>42</v>
      </c>
      <c r="F57" s="31" t="s">
        <v>1060</v>
      </c>
      <c r="G57" s="31" t="s">
        <v>875</v>
      </c>
      <c r="H57" s="31" t="s">
        <v>776</v>
      </c>
      <c r="I57" s="31" t="s">
        <v>1061</v>
      </c>
      <c r="J57" s="31" t="s">
        <v>1062</v>
      </c>
      <c r="K57" s="31" t="s">
        <v>1063</v>
      </c>
    </row>
    <row r="58" customFormat="false" ht="15" hidden="false" customHeight="false" outlineLevel="0" collapsed="false">
      <c r="A58" s="31" t="s">
        <v>986</v>
      </c>
      <c r="B58" s="31" t="s">
        <v>1064</v>
      </c>
      <c r="C58" s="31" t="s">
        <v>1065</v>
      </c>
      <c r="D58" s="32" t="n">
        <v>42</v>
      </c>
      <c r="E58" s="32" t="n">
        <v>45</v>
      </c>
      <c r="F58" s="31" t="s">
        <v>1060</v>
      </c>
      <c r="G58" s="31" t="s">
        <v>875</v>
      </c>
      <c r="H58" s="31" t="s">
        <v>776</v>
      </c>
      <c r="I58" s="31" t="s">
        <v>1066</v>
      </c>
      <c r="J58" s="31" t="s">
        <v>152</v>
      </c>
      <c r="K58" s="31" t="s">
        <v>1067</v>
      </c>
    </row>
    <row r="59" customFormat="false" ht="15" hidden="false" customHeight="false" outlineLevel="0" collapsed="false">
      <c r="A59" s="31" t="s">
        <v>986</v>
      </c>
      <c r="B59" s="31" t="s">
        <v>1068</v>
      </c>
      <c r="C59" s="31" t="s">
        <v>1069</v>
      </c>
      <c r="D59" s="32" t="n">
        <v>0.3981</v>
      </c>
      <c r="E59" s="32" t="n">
        <v>0.4021</v>
      </c>
      <c r="F59" s="31" t="s">
        <v>1070</v>
      </c>
      <c r="G59" s="31" t="s">
        <v>875</v>
      </c>
      <c r="H59" s="31" t="s">
        <v>776</v>
      </c>
      <c r="I59" s="31" t="s">
        <v>1071</v>
      </c>
      <c r="J59" s="31" t="s">
        <v>1072</v>
      </c>
      <c r="K59" s="31" t="s">
        <v>1073</v>
      </c>
    </row>
    <row r="60" customFormat="false" ht="15" hidden="false" customHeight="false" outlineLevel="0" collapsed="false">
      <c r="A60" s="31" t="s">
        <v>986</v>
      </c>
      <c r="B60" s="31" t="s">
        <v>1074</v>
      </c>
      <c r="C60" s="31" t="s">
        <v>1075</v>
      </c>
      <c r="D60" s="32" t="n">
        <v>60000</v>
      </c>
      <c r="E60" s="32" t="n">
        <v>105000</v>
      </c>
      <c r="F60" s="31" t="s">
        <v>1076</v>
      </c>
      <c r="G60" s="31" t="s">
        <v>875</v>
      </c>
      <c r="H60" s="31" t="s">
        <v>776</v>
      </c>
      <c r="I60" s="31" t="s">
        <v>1077</v>
      </c>
      <c r="J60" s="31" t="s">
        <v>1078</v>
      </c>
      <c r="K60" s="31" t="s">
        <v>1079</v>
      </c>
    </row>
    <row r="61" customFormat="false" ht="15" hidden="false" customHeight="false" outlineLevel="0" collapsed="false">
      <c r="A61" s="31" t="s">
        <v>986</v>
      </c>
      <c r="B61" s="31" t="s">
        <v>1080</v>
      </c>
      <c r="C61" s="31" t="s">
        <v>1081</v>
      </c>
      <c r="D61" s="32" t="n">
        <v>43000</v>
      </c>
      <c r="E61" s="32" t="n">
        <v>56000</v>
      </c>
      <c r="F61" s="31" t="s">
        <v>1076</v>
      </c>
      <c r="G61" s="31" t="s">
        <v>1082</v>
      </c>
      <c r="H61" s="31" t="s">
        <v>776</v>
      </c>
      <c r="I61" s="31" t="s">
        <v>1083</v>
      </c>
      <c r="J61" s="31" t="s">
        <v>267</v>
      </c>
      <c r="K61" s="31" t="s">
        <v>1084</v>
      </c>
    </row>
    <row r="62" customFormat="false" ht="15" hidden="false" customHeight="false" outlineLevel="0" collapsed="false">
      <c r="A62" s="31" t="s">
        <v>986</v>
      </c>
      <c r="B62" s="31" t="s">
        <v>1085</v>
      </c>
      <c r="C62" s="31" t="s">
        <v>1086</v>
      </c>
      <c r="D62" s="32" t="n">
        <v>35000</v>
      </c>
      <c r="E62" s="32" t="n">
        <v>45000</v>
      </c>
      <c r="F62" s="31" t="s">
        <v>1076</v>
      </c>
      <c r="G62" s="31" t="s">
        <v>875</v>
      </c>
      <c r="H62" s="31" t="s">
        <v>776</v>
      </c>
      <c r="I62" s="31" t="s">
        <v>1087</v>
      </c>
      <c r="J62" s="31" t="s">
        <v>271</v>
      </c>
      <c r="K62" s="31" t="s">
        <v>1088</v>
      </c>
    </row>
    <row r="63" customFormat="false" ht="15" hidden="false" customHeight="false" outlineLevel="0" collapsed="false">
      <c r="A63" s="31" t="s">
        <v>986</v>
      </c>
      <c r="B63" s="31" t="s">
        <v>1089</v>
      </c>
      <c r="C63" s="31" t="s">
        <v>1090</v>
      </c>
      <c r="D63" s="32" t="n">
        <v>37543</v>
      </c>
      <c r="E63" s="32" t="n">
        <v>50000</v>
      </c>
      <c r="F63" s="31" t="s">
        <v>1076</v>
      </c>
      <c r="G63" s="31" t="s">
        <v>875</v>
      </c>
      <c r="H63" s="31" t="s">
        <v>776</v>
      </c>
      <c r="I63" s="31" t="s">
        <v>1091</v>
      </c>
      <c r="J63" s="31" t="s">
        <v>1092</v>
      </c>
      <c r="K63" s="31" t="s">
        <v>1093</v>
      </c>
    </row>
    <row r="64" customFormat="false" ht="15" hidden="false" customHeight="false" outlineLevel="0" collapsed="false">
      <c r="A64" s="31" t="s">
        <v>986</v>
      </c>
      <c r="B64" s="31" t="s">
        <v>1094</v>
      </c>
      <c r="C64" s="31" t="s">
        <v>1095</v>
      </c>
      <c r="D64" s="32" t="n">
        <v>1867</v>
      </c>
      <c r="E64" s="32" t="n">
        <v>2200</v>
      </c>
      <c r="F64" s="31" t="s">
        <v>1042</v>
      </c>
      <c r="G64" s="31" t="s">
        <v>875</v>
      </c>
      <c r="H64" s="31" t="s">
        <v>776</v>
      </c>
      <c r="I64" s="31" t="s">
        <v>1096</v>
      </c>
      <c r="J64" s="31" t="s">
        <v>1097</v>
      </c>
      <c r="K64" s="31" t="s">
        <v>1098</v>
      </c>
    </row>
    <row r="65" customFormat="false" ht="15" hidden="false" customHeight="false" outlineLevel="0" collapsed="false">
      <c r="A65" s="31" t="s">
        <v>986</v>
      </c>
      <c r="B65" s="31" t="s">
        <v>1099</v>
      </c>
      <c r="C65" s="31" t="s">
        <v>1100</v>
      </c>
      <c r="D65" s="32" t="n">
        <v>26400</v>
      </c>
      <c r="E65" s="32" t="n">
        <v>44000</v>
      </c>
      <c r="F65" s="31" t="s">
        <v>1076</v>
      </c>
      <c r="G65" s="31" t="s">
        <v>875</v>
      </c>
      <c r="H65" s="31" t="s">
        <v>776</v>
      </c>
      <c r="I65" s="31" t="s">
        <v>1101</v>
      </c>
      <c r="J65" s="31" t="s">
        <v>1102</v>
      </c>
      <c r="K65" s="31" t="s">
        <v>1103</v>
      </c>
    </row>
    <row r="66" customFormat="false" ht="15" hidden="false" customHeight="false" outlineLevel="0" collapsed="false">
      <c r="A66" s="31" t="s">
        <v>986</v>
      </c>
      <c r="B66" s="31" t="s">
        <v>1104</v>
      </c>
      <c r="C66" s="31" t="s">
        <v>1105</v>
      </c>
      <c r="D66" s="32" t="n">
        <v>5</v>
      </c>
      <c r="E66" s="32" t="n">
        <v>5</v>
      </c>
      <c r="F66" s="31" t="s">
        <v>1106</v>
      </c>
      <c r="G66" s="31" t="s">
        <v>875</v>
      </c>
      <c r="H66" s="31" t="s">
        <v>765</v>
      </c>
      <c r="I66" s="31" t="s">
        <v>1107</v>
      </c>
      <c r="J66" s="31" t="s">
        <v>147</v>
      </c>
      <c r="K66" s="31" t="s">
        <v>1108</v>
      </c>
    </row>
    <row r="67" customFormat="false" ht="15" hidden="false" customHeight="false" outlineLevel="0" collapsed="false">
      <c r="A67" s="31" t="s">
        <v>986</v>
      </c>
      <c r="B67" s="31" t="s">
        <v>1109</v>
      </c>
      <c r="C67" s="31" t="s">
        <v>1110</v>
      </c>
      <c r="D67" s="32" t="n">
        <v>15</v>
      </c>
      <c r="E67" s="32" t="n">
        <v>15</v>
      </c>
      <c r="F67" s="31" t="s">
        <v>1111</v>
      </c>
      <c r="G67" s="31" t="s">
        <v>1112</v>
      </c>
      <c r="H67" s="31" t="s">
        <v>776</v>
      </c>
      <c r="I67" s="31" t="s">
        <v>1113</v>
      </c>
      <c r="J67" s="31" t="s">
        <v>1114</v>
      </c>
      <c r="K67" s="31" t="s">
        <v>1115</v>
      </c>
    </row>
    <row r="68" customFormat="false" ht="15" hidden="false" customHeight="false" outlineLevel="0" collapsed="false">
      <c r="A68" s="31" t="s">
        <v>986</v>
      </c>
      <c r="B68" s="31" t="s">
        <v>1116</v>
      </c>
      <c r="C68" s="31" t="s">
        <v>1117</v>
      </c>
      <c r="D68" s="32" t="n">
        <v>7.5</v>
      </c>
      <c r="E68" s="32" t="n">
        <v>7.5</v>
      </c>
      <c r="F68" s="31" t="s">
        <v>816</v>
      </c>
      <c r="G68" s="31" t="s">
        <v>1118</v>
      </c>
      <c r="H68" s="31" t="s">
        <v>765</v>
      </c>
      <c r="I68" s="31" t="s">
        <v>1119</v>
      </c>
      <c r="J68" s="31" t="s">
        <v>68</v>
      </c>
      <c r="K68" s="31" t="s">
        <v>1120</v>
      </c>
    </row>
    <row r="69" customFormat="false" ht="15" hidden="false" customHeight="false" outlineLevel="0" collapsed="false">
      <c r="A69" s="31" t="s">
        <v>986</v>
      </c>
      <c r="B69" s="31" t="s">
        <v>1121</v>
      </c>
      <c r="C69" s="31" t="s">
        <v>1122</v>
      </c>
      <c r="D69" s="31"/>
      <c r="E69" s="31"/>
      <c r="F69" s="31" t="s">
        <v>1123</v>
      </c>
      <c r="G69" s="31" t="s">
        <v>1124</v>
      </c>
      <c r="H69" s="31" t="s">
        <v>776</v>
      </c>
      <c r="I69" s="31" t="s">
        <v>1125</v>
      </c>
      <c r="J69" s="31" t="s">
        <v>1126</v>
      </c>
      <c r="K69" s="31" t="s">
        <v>1127</v>
      </c>
    </row>
    <row r="70" customFormat="false" ht="15" hidden="false" customHeight="false" outlineLevel="0" collapsed="false">
      <c r="A70" s="31" t="s">
        <v>986</v>
      </c>
      <c r="B70" s="31" t="s">
        <v>1128</v>
      </c>
      <c r="C70" s="31" t="s">
        <v>1129</v>
      </c>
      <c r="D70" s="32" t="n">
        <v>150000000</v>
      </c>
      <c r="E70" s="32" t="n">
        <v>150000000</v>
      </c>
      <c r="F70" s="31" t="s">
        <v>1130</v>
      </c>
      <c r="G70" s="31" t="s">
        <v>1131</v>
      </c>
      <c r="H70" s="31" t="s">
        <v>765</v>
      </c>
      <c r="I70" s="31" t="s">
        <v>1132</v>
      </c>
      <c r="J70" s="31" t="s">
        <v>1133</v>
      </c>
      <c r="K70" s="31" t="s">
        <v>1134</v>
      </c>
    </row>
    <row r="71" customFormat="false" ht="15" hidden="false" customHeight="false" outlineLevel="0" collapsed="false">
      <c r="A71" s="31" t="s">
        <v>986</v>
      </c>
      <c r="B71" s="31" t="s">
        <v>1135</v>
      </c>
      <c r="C71" s="31" t="s">
        <v>1136</v>
      </c>
      <c r="D71" s="32" t="n">
        <v>50000000</v>
      </c>
      <c r="E71" s="32" t="n">
        <v>50000000</v>
      </c>
      <c r="F71" s="31" t="s">
        <v>1130</v>
      </c>
      <c r="G71" s="31" t="s">
        <v>1082</v>
      </c>
      <c r="H71" s="31" t="s">
        <v>776</v>
      </c>
      <c r="I71" s="31" t="s">
        <v>1137</v>
      </c>
      <c r="J71" s="31" t="s">
        <v>1138</v>
      </c>
      <c r="K71" s="31" t="s">
        <v>1139</v>
      </c>
    </row>
    <row r="72" customFormat="false" ht="15" hidden="false" customHeight="false" outlineLevel="0" collapsed="false">
      <c r="A72" s="31" t="s">
        <v>986</v>
      </c>
      <c r="B72" s="31" t="s">
        <v>1140</v>
      </c>
      <c r="C72" s="31" t="s">
        <v>1141</v>
      </c>
      <c r="D72" s="32" t="n">
        <v>0</v>
      </c>
      <c r="E72" s="32" t="n">
        <v>0</v>
      </c>
      <c r="F72" s="31" t="s">
        <v>1142</v>
      </c>
      <c r="G72" s="31" t="s">
        <v>875</v>
      </c>
      <c r="H72" s="31" t="s">
        <v>765</v>
      </c>
      <c r="I72" s="31" t="s">
        <v>1143</v>
      </c>
      <c r="J72" s="31" t="s">
        <v>1144</v>
      </c>
      <c r="K72" s="31" t="s">
        <v>1145</v>
      </c>
    </row>
    <row r="73" customFormat="false" ht="15" hidden="false" customHeight="false" outlineLevel="0" collapsed="false">
      <c r="A73" s="31" t="s">
        <v>986</v>
      </c>
      <c r="B73" s="31" t="s">
        <v>1146</v>
      </c>
      <c r="C73" s="31" t="s">
        <v>1147</v>
      </c>
      <c r="D73" s="32" t="n">
        <v>450</v>
      </c>
      <c r="E73" s="32" t="n">
        <v>1230</v>
      </c>
      <c r="F73" s="31" t="s">
        <v>1148</v>
      </c>
      <c r="G73" s="31" t="s">
        <v>1149</v>
      </c>
      <c r="H73" s="31" t="s">
        <v>776</v>
      </c>
      <c r="I73" s="31" t="s">
        <v>1150</v>
      </c>
      <c r="J73" s="31" t="s">
        <v>1151</v>
      </c>
      <c r="K73" s="31" t="s">
        <v>1152</v>
      </c>
    </row>
    <row r="74" customFormat="false" ht="15" hidden="false" customHeight="false" outlineLevel="0" collapsed="false">
      <c r="A74" s="31" t="s">
        <v>986</v>
      </c>
      <c r="B74" s="31" t="s">
        <v>1153</v>
      </c>
      <c r="C74" s="31" t="s">
        <v>1154</v>
      </c>
      <c r="D74" s="32" t="n">
        <v>198</v>
      </c>
      <c r="E74" s="32" t="n">
        <v>233</v>
      </c>
      <c r="F74" s="31" t="s">
        <v>1148</v>
      </c>
      <c r="G74" s="31" t="s">
        <v>1155</v>
      </c>
      <c r="H74" s="31" t="s">
        <v>765</v>
      </c>
      <c r="I74" s="31" t="s">
        <v>1156</v>
      </c>
      <c r="J74" s="31" t="s">
        <v>276</v>
      </c>
      <c r="K74" s="31" t="s">
        <v>1157</v>
      </c>
    </row>
    <row r="75" customFormat="false" ht="15" hidden="false" customHeight="false" outlineLevel="0" collapsed="false">
      <c r="A75" s="31" t="s">
        <v>986</v>
      </c>
      <c r="B75" s="31" t="s">
        <v>1158</v>
      </c>
      <c r="C75" s="31" t="s">
        <v>1159</v>
      </c>
      <c r="D75" s="32" t="n">
        <v>163</v>
      </c>
      <c r="E75" s="32" t="n">
        <v>183</v>
      </c>
      <c r="F75" s="31" t="s">
        <v>1148</v>
      </c>
      <c r="G75" s="31" t="s">
        <v>1155</v>
      </c>
      <c r="H75" s="31" t="s">
        <v>765</v>
      </c>
      <c r="I75" s="31" t="s">
        <v>1160</v>
      </c>
      <c r="J75" s="31" t="s">
        <v>1161</v>
      </c>
      <c r="K75" s="31" t="s">
        <v>1162</v>
      </c>
    </row>
    <row r="76" customFormat="false" ht="15" hidden="false" customHeight="false" outlineLevel="0" collapsed="false">
      <c r="A76" s="31" t="s">
        <v>986</v>
      </c>
      <c r="B76" s="31" t="s">
        <v>1163</v>
      </c>
      <c r="C76" s="31" t="s">
        <v>1164</v>
      </c>
      <c r="D76" s="32" t="n">
        <v>226</v>
      </c>
      <c r="E76" s="32" t="n">
        <v>255</v>
      </c>
      <c r="F76" s="31" t="s">
        <v>1148</v>
      </c>
      <c r="G76" s="31" t="s">
        <v>1043</v>
      </c>
      <c r="H76" s="31" t="s">
        <v>776</v>
      </c>
      <c r="I76" s="31" t="s">
        <v>1165</v>
      </c>
      <c r="J76" s="31" t="s">
        <v>1166</v>
      </c>
      <c r="K76" s="31" t="s">
        <v>1167</v>
      </c>
    </row>
    <row r="77" customFormat="false" ht="15" hidden="false" customHeight="false" outlineLevel="0" collapsed="false">
      <c r="A77" s="31" t="s">
        <v>986</v>
      </c>
      <c r="B77" s="31" t="s">
        <v>1168</v>
      </c>
      <c r="C77" s="31" t="s">
        <v>1169</v>
      </c>
      <c r="D77" s="32" t="n">
        <v>173</v>
      </c>
      <c r="E77" s="32" t="n">
        <v>250</v>
      </c>
      <c r="F77" s="31" t="s">
        <v>1148</v>
      </c>
      <c r="G77" s="31" t="s">
        <v>1170</v>
      </c>
      <c r="H77" s="31" t="s">
        <v>776</v>
      </c>
      <c r="I77" s="31" t="s">
        <v>1171</v>
      </c>
      <c r="J77" s="31" t="s">
        <v>1172</v>
      </c>
      <c r="K77" s="31" t="s">
        <v>1173</v>
      </c>
    </row>
    <row r="78" customFormat="false" ht="15" hidden="false" customHeight="false" outlineLevel="0" collapsed="false">
      <c r="A78" s="31" t="s">
        <v>986</v>
      </c>
      <c r="B78" s="31" t="s">
        <v>1174</v>
      </c>
      <c r="C78" s="31" t="s">
        <v>1175</v>
      </c>
      <c r="D78" s="32" t="n">
        <v>170</v>
      </c>
      <c r="E78" s="32" t="n">
        <v>170</v>
      </c>
      <c r="F78" s="31" t="s">
        <v>1148</v>
      </c>
      <c r="G78" s="31" t="s">
        <v>1176</v>
      </c>
      <c r="H78" s="31" t="s">
        <v>870</v>
      </c>
      <c r="I78" s="31" t="s">
        <v>1177</v>
      </c>
      <c r="J78" s="31" t="s">
        <v>1178</v>
      </c>
      <c r="K78" s="31" t="s">
        <v>1179</v>
      </c>
    </row>
    <row r="79" customFormat="false" ht="15" hidden="false" customHeight="false" outlineLevel="0" collapsed="false">
      <c r="A79" s="31" t="s">
        <v>986</v>
      </c>
      <c r="B79" s="31" t="s">
        <v>1180</v>
      </c>
      <c r="C79" s="31" t="s">
        <v>1181</v>
      </c>
      <c r="D79" s="32" t="n">
        <v>400</v>
      </c>
      <c r="E79" s="32" t="n">
        <v>1100</v>
      </c>
      <c r="F79" s="31" t="s">
        <v>1182</v>
      </c>
      <c r="G79" s="31" t="s">
        <v>875</v>
      </c>
      <c r="H79" s="31" t="s">
        <v>776</v>
      </c>
      <c r="I79" s="31" t="s">
        <v>1183</v>
      </c>
      <c r="J79" s="31" t="s">
        <v>1184</v>
      </c>
      <c r="K79" s="31" t="s">
        <v>1185</v>
      </c>
    </row>
    <row r="80" customFormat="false" ht="15" hidden="false" customHeight="false" outlineLevel="0" collapsed="false">
      <c r="A80" s="31" t="s">
        <v>986</v>
      </c>
      <c r="B80" s="31" t="s">
        <v>1186</v>
      </c>
      <c r="C80" s="31" t="s">
        <v>1187</v>
      </c>
      <c r="D80" s="32" t="n">
        <v>288</v>
      </c>
      <c r="E80" s="32" t="n">
        <v>900</v>
      </c>
      <c r="F80" s="31" t="s">
        <v>1188</v>
      </c>
      <c r="G80" s="31" t="s">
        <v>875</v>
      </c>
      <c r="H80" s="31" t="s">
        <v>776</v>
      </c>
      <c r="I80" s="31" t="s">
        <v>1189</v>
      </c>
      <c r="J80" s="31" t="s">
        <v>1190</v>
      </c>
      <c r="K80" s="31" t="s">
        <v>1191</v>
      </c>
    </row>
    <row r="81" customFormat="false" ht="15" hidden="false" customHeight="false" outlineLevel="0" collapsed="false">
      <c r="A81" s="31" t="s">
        <v>986</v>
      </c>
      <c r="B81" s="31" t="s">
        <v>1192</v>
      </c>
      <c r="C81" s="31" t="s">
        <v>1193</v>
      </c>
      <c r="D81" s="32" t="n">
        <v>200</v>
      </c>
      <c r="E81" s="32" t="n">
        <v>6000</v>
      </c>
      <c r="F81" s="31" t="s">
        <v>1194</v>
      </c>
      <c r="G81" s="31" t="s">
        <v>875</v>
      </c>
      <c r="H81" s="31" t="s">
        <v>776</v>
      </c>
      <c r="I81" s="31" t="s">
        <v>1195</v>
      </c>
      <c r="J81" s="31" t="s">
        <v>287</v>
      </c>
      <c r="K81" s="31" t="s">
        <v>1196</v>
      </c>
    </row>
    <row r="82" customFormat="false" ht="15" hidden="false" customHeight="false" outlineLevel="0" collapsed="false">
      <c r="A82" s="31" t="s">
        <v>986</v>
      </c>
      <c r="B82" s="31" t="s">
        <v>1197</v>
      </c>
      <c r="C82" s="31" t="s">
        <v>1198</v>
      </c>
      <c r="D82" s="32" t="n">
        <v>2000</v>
      </c>
      <c r="E82" s="32" t="n">
        <v>8000</v>
      </c>
      <c r="F82" s="31" t="s">
        <v>1199</v>
      </c>
      <c r="G82" s="31" t="s">
        <v>875</v>
      </c>
      <c r="H82" s="31" t="s">
        <v>776</v>
      </c>
      <c r="I82" s="31" t="s">
        <v>1200</v>
      </c>
      <c r="J82" s="31" t="s">
        <v>283</v>
      </c>
      <c r="K82" s="31" t="s">
        <v>1201</v>
      </c>
    </row>
    <row r="83" customFormat="false" ht="15" hidden="false" customHeight="false" outlineLevel="0" collapsed="false">
      <c r="A83" s="31" t="s">
        <v>986</v>
      </c>
      <c r="B83" s="31" t="s">
        <v>1202</v>
      </c>
      <c r="C83" s="31" t="s">
        <v>1203</v>
      </c>
      <c r="D83" s="32" t="n">
        <v>5000000</v>
      </c>
      <c r="E83" s="32" t="n">
        <v>10000000</v>
      </c>
      <c r="F83" s="31" t="s">
        <v>1204</v>
      </c>
      <c r="G83" s="31" t="s">
        <v>1131</v>
      </c>
      <c r="H83" s="31" t="s">
        <v>765</v>
      </c>
      <c r="I83" s="31" t="s">
        <v>1205</v>
      </c>
      <c r="J83" s="31" t="s">
        <v>1206</v>
      </c>
      <c r="K83" s="31" t="s">
        <v>1207</v>
      </c>
    </row>
    <row r="84" customFormat="false" ht="15" hidden="false" customHeight="false" outlineLevel="0" collapsed="false">
      <c r="A84" s="31" t="s">
        <v>986</v>
      </c>
      <c r="B84" s="31" t="s">
        <v>1208</v>
      </c>
      <c r="C84" s="31" t="s">
        <v>1209</v>
      </c>
      <c r="D84" s="32" t="n">
        <v>3500</v>
      </c>
      <c r="E84" s="32" t="n">
        <v>15000</v>
      </c>
      <c r="F84" s="31" t="s">
        <v>1199</v>
      </c>
      <c r="G84" s="31" t="s">
        <v>875</v>
      </c>
      <c r="H84" s="31" t="s">
        <v>870</v>
      </c>
      <c r="I84" s="31" t="s">
        <v>1210</v>
      </c>
      <c r="J84" s="31" t="s">
        <v>1211</v>
      </c>
      <c r="K84" s="31" t="s">
        <v>1212</v>
      </c>
    </row>
    <row r="85" customFormat="false" ht="15" hidden="false" customHeight="false" outlineLevel="0" collapsed="false">
      <c r="A85" s="31" t="s">
        <v>986</v>
      </c>
      <c r="B85" s="31" t="s">
        <v>1213</v>
      </c>
      <c r="C85" s="31" t="s">
        <v>1214</v>
      </c>
      <c r="D85" s="32" t="n">
        <v>9</v>
      </c>
      <c r="E85" s="32" t="n">
        <v>50</v>
      </c>
      <c r="F85" s="31" t="s">
        <v>1215</v>
      </c>
      <c r="G85" s="31" t="s">
        <v>875</v>
      </c>
      <c r="H85" s="31" t="s">
        <v>776</v>
      </c>
      <c r="I85" s="31" t="s">
        <v>1216</v>
      </c>
      <c r="J85" s="31" t="s">
        <v>291</v>
      </c>
      <c r="K85" s="31" t="s">
        <v>1217</v>
      </c>
    </row>
    <row r="86" customFormat="false" ht="15" hidden="false" customHeight="false" outlineLevel="0" collapsed="false">
      <c r="A86" s="31" t="s">
        <v>1218</v>
      </c>
      <c r="B86" s="31" t="s">
        <v>1219</v>
      </c>
      <c r="C86" s="31" t="s">
        <v>1220</v>
      </c>
      <c r="D86" s="32" t="n">
        <v>60000</v>
      </c>
      <c r="E86" s="32" t="n">
        <v>60000</v>
      </c>
      <c r="F86" s="31" t="s">
        <v>184</v>
      </c>
      <c r="G86" s="31" t="s">
        <v>1221</v>
      </c>
      <c r="H86" s="31" t="s">
        <v>765</v>
      </c>
      <c r="I86" s="31" t="s">
        <v>1222</v>
      </c>
      <c r="J86" s="31" t="s">
        <v>250</v>
      </c>
      <c r="K86" s="31" t="s">
        <v>1223</v>
      </c>
    </row>
    <row r="87" customFormat="false" ht="15" hidden="false" customHeight="false" outlineLevel="0" collapsed="false">
      <c r="A87" s="31" t="s">
        <v>1218</v>
      </c>
      <c r="B87" s="31" t="s">
        <v>1224</v>
      </c>
      <c r="C87" s="31" t="s">
        <v>1225</v>
      </c>
      <c r="D87" s="32" t="n">
        <v>45000</v>
      </c>
      <c r="E87" s="32" t="n">
        <v>45000</v>
      </c>
      <c r="F87" s="31" t="s">
        <v>184</v>
      </c>
      <c r="G87" s="31" t="s">
        <v>1226</v>
      </c>
      <c r="H87" s="31" t="s">
        <v>765</v>
      </c>
      <c r="I87" s="31" t="s">
        <v>1227</v>
      </c>
      <c r="J87" s="31" t="s">
        <v>1228</v>
      </c>
      <c r="K87" s="31" t="s">
        <v>1229</v>
      </c>
    </row>
    <row r="88" customFormat="false" ht="15" hidden="false" customHeight="false" outlineLevel="0" collapsed="false">
      <c r="A88" s="31" t="s">
        <v>1218</v>
      </c>
      <c r="B88" s="31" t="s">
        <v>1230</v>
      </c>
      <c r="C88" s="31" t="s">
        <v>1231</v>
      </c>
      <c r="D88" s="32" t="n">
        <v>43969</v>
      </c>
      <c r="E88" s="32" t="n">
        <v>43969</v>
      </c>
      <c r="F88" s="31" t="s">
        <v>184</v>
      </c>
      <c r="G88" s="31" t="s">
        <v>1232</v>
      </c>
      <c r="H88" s="31" t="s">
        <v>776</v>
      </c>
      <c r="I88" s="31" t="s">
        <v>1233</v>
      </c>
      <c r="J88" s="31" t="s">
        <v>1234</v>
      </c>
      <c r="K88" s="31" t="s">
        <v>1235</v>
      </c>
    </row>
    <row r="89" customFormat="false" ht="15" hidden="false" customHeight="false" outlineLevel="0" collapsed="false">
      <c r="A89" s="31" t="s">
        <v>1218</v>
      </c>
      <c r="B89" s="31" t="s">
        <v>1236</v>
      </c>
      <c r="C89" s="31" t="s">
        <v>1237</v>
      </c>
      <c r="D89" s="32" t="n">
        <v>4.2</v>
      </c>
      <c r="E89" s="32" t="n">
        <v>4.2</v>
      </c>
      <c r="F89" s="31" t="s">
        <v>1238</v>
      </c>
      <c r="G89" s="31" t="s">
        <v>1239</v>
      </c>
      <c r="H89" s="31" t="s">
        <v>765</v>
      </c>
      <c r="I89" s="31" t="s">
        <v>1240</v>
      </c>
      <c r="J89" s="31" t="s">
        <v>157</v>
      </c>
      <c r="K89" s="31" t="s">
        <v>1241</v>
      </c>
    </row>
    <row r="90" customFormat="false" ht="15" hidden="false" customHeight="false" outlineLevel="0" collapsed="false">
      <c r="A90" s="31" t="s">
        <v>1218</v>
      </c>
      <c r="B90" s="31" t="s">
        <v>1242</v>
      </c>
      <c r="C90" s="31" t="s">
        <v>1243</v>
      </c>
      <c r="D90" s="32" t="n">
        <v>4.2</v>
      </c>
      <c r="E90" s="32" t="n">
        <v>4.2</v>
      </c>
      <c r="F90" s="31" t="s">
        <v>1238</v>
      </c>
      <c r="G90" s="31" t="s">
        <v>1244</v>
      </c>
      <c r="H90" s="31" t="s">
        <v>765</v>
      </c>
      <c r="I90" s="31" t="s">
        <v>1245</v>
      </c>
      <c r="J90" s="31" t="s">
        <v>1246</v>
      </c>
      <c r="K90" s="31" t="s">
        <v>1247</v>
      </c>
    </row>
    <row r="91" customFormat="false" ht="15" hidden="false" customHeight="false" outlineLevel="0" collapsed="false">
      <c r="A91" s="31" t="s">
        <v>1218</v>
      </c>
      <c r="B91" s="31" t="s">
        <v>1248</v>
      </c>
      <c r="C91" s="31" t="s">
        <v>1249</v>
      </c>
      <c r="D91" s="32" t="n">
        <v>7</v>
      </c>
      <c r="E91" s="32" t="n">
        <v>7</v>
      </c>
      <c r="F91" s="31" t="s">
        <v>1238</v>
      </c>
      <c r="G91" s="31" t="s">
        <v>1250</v>
      </c>
      <c r="H91" s="31" t="s">
        <v>765</v>
      </c>
      <c r="I91" s="31" t="s">
        <v>1251</v>
      </c>
      <c r="J91" s="31" t="s">
        <v>1252</v>
      </c>
      <c r="K91" s="31" t="s">
        <v>1253</v>
      </c>
    </row>
    <row r="92" customFormat="false" ht="15" hidden="false" customHeight="false" outlineLevel="0" collapsed="false">
      <c r="A92" s="31" t="s">
        <v>1218</v>
      </c>
      <c r="B92" s="31" t="s">
        <v>1254</v>
      </c>
      <c r="C92" s="31" t="s">
        <v>1255</v>
      </c>
      <c r="D92" s="32" t="n">
        <v>1.75</v>
      </c>
      <c r="E92" s="32" t="n">
        <v>5</v>
      </c>
      <c r="F92" s="31" t="s">
        <v>1060</v>
      </c>
      <c r="G92" s="31" t="s">
        <v>1256</v>
      </c>
      <c r="H92" s="31" t="s">
        <v>765</v>
      </c>
      <c r="I92" s="31" t="s">
        <v>1257</v>
      </c>
      <c r="J92" s="31" t="s">
        <v>1258</v>
      </c>
      <c r="K92" s="31" t="s">
        <v>1259</v>
      </c>
    </row>
    <row r="93" customFormat="false" ht="15" hidden="false" customHeight="false" outlineLevel="0" collapsed="false">
      <c r="A93" s="31" t="s">
        <v>1218</v>
      </c>
      <c r="B93" s="31" t="s">
        <v>1260</v>
      </c>
      <c r="C93" s="31" t="s">
        <v>1261</v>
      </c>
      <c r="D93" s="32" t="n">
        <v>1.5</v>
      </c>
      <c r="E93" s="32" t="n">
        <v>1.5</v>
      </c>
      <c r="F93" s="31" t="s">
        <v>1262</v>
      </c>
      <c r="G93" s="31" t="s">
        <v>1263</v>
      </c>
      <c r="H93" s="31" t="s">
        <v>765</v>
      </c>
      <c r="I93" s="31" t="s">
        <v>1264</v>
      </c>
      <c r="J93" s="31" t="s">
        <v>166</v>
      </c>
      <c r="K93" s="31" t="s">
        <v>1265</v>
      </c>
    </row>
    <row r="94" customFormat="false" ht="15" hidden="false" customHeight="false" outlineLevel="0" collapsed="false">
      <c r="A94" s="31" t="s">
        <v>1218</v>
      </c>
      <c r="B94" s="31" t="s">
        <v>1266</v>
      </c>
      <c r="C94" s="31" t="s">
        <v>1267</v>
      </c>
      <c r="D94" s="32" t="n">
        <v>1</v>
      </c>
      <c r="E94" s="32" t="n">
        <v>1</v>
      </c>
      <c r="F94" s="31" t="s">
        <v>1268</v>
      </c>
      <c r="G94" s="31" t="s">
        <v>1244</v>
      </c>
      <c r="H94" s="31" t="s">
        <v>765</v>
      </c>
      <c r="I94" s="31" t="s">
        <v>1245</v>
      </c>
      <c r="J94" s="31" t="s">
        <v>1246</v>
      </c>
      <c r="K94" s="31" t="s">
        <v>1269</v>
      </c>
    </row>
    <row r="95" customFormat="false" ht="15" hidden="false" customHeight="false" outlineLevel="0" collapsed="false">
      <c r="A95" s="31" t="s">
        <v>1218</v>
      </c>
      <c r="B95" s="31" t="s">
        <v>1270</v>
      </c>
      <c r="C95" s="31" t="s">
        <v>1271</v>
      </c>
      <c r="D95" s="32" t="n">
        <v>15.45</v>
      </c>
      <c r="E95" s="32" t="n">
        <v>18.7</v>
      </c>
      <c r="F95" s="31" t="s">
        <v>1272</v>
      </c>
      <c r="G95" s="31" t="s">
        <v>770</v>
      </c>
      <c r="H95" s="31" t="s">
        <v>776</v>
      </c>
      <c r="I95" s="31" t="s">
        <v>1273</v>
      </c>
      <c r="J95" s="31" t="s">
        <v>1246</v>
      </c>
      <c r="K95" s="31" t="s">
        <v>1274</v>
      </c>
    </row>
    <row r="96" customFormat="false" ht="15" hidden="false" customHeight="false" outlineLevel="0" collapsed="false">
      <c r="A96" s="31" t="s">
        <v>1218</v>
      </c>
      <c r="B96" s="31" t="s">
        <v>1275</v>
      </c>
      <c r="C96" s="31" t="s">
        <v>1276</v>
      </c>
      <c r="D96" s="32" t="n">
        <v>1</v>
      </c>
      <c r="E96" s="32" t="n">
        <v>1</v>
      </c>
      <c r="F96" s="31" t="s">
        <v>1277</v>
      </c>
      <c r="G96" s="31" t="s">
        <v>770</v>
      </c>
      <c r="H96" s="31" t="s">
        <v>765</v>
      </c>
      <c r="I96" s="31" t="s">
        <v>1245</v>
      </c>
      <c r="J96" s="31" t="s">
        <v>1246</v>
      </c>
      <c r="K96" s="31" t="s">
        <v>1278</v>
      </c>
    </row>
    <row r="97" customFormat="false" ht="15" hidden="false" customHeight="false" outlineLevel="0" collapsed="false">
      <c r="A97" s="31" t="s">
        <v>1218</v>
      </c>
      <c r="B97" s="31" t="s">
        <v>1279</v>
      </c>
      <c r="C97" s="31" t="s">
        <v>1280</v>
      </c>
      <c r="D97" s="32" t="n">
        <v>10</v>
      </c>
      <c r="E97" s="32" t="n">
        <v>35</v>
      </c>
      <c r="F97" s="31" t="s">
        <v>1281</v>
      </c>
      <c r="G97" s="31" t="s">
        <v>1282</v>
      </c>
      <c r="H97" s="31" t="s">
        <v>765</v>
      </c>
      <c r="I97" s="31" t="s">
        <v>1283</v>
      </c>
      <c r="J97" s="31" t="s">
        <v>1284</v>
      </c>
      <c r="K97" s="31" t="s">
        <v>1285</v>
      </c>
    </row>
    <row r="98" customFormat="false" ht="15" hidden="false" customHeight="false" outlineLevel="0" collapsed="false">
      <c r="A98" s="31" t="s">
        <v>1218</v>
      </c>
      <c r="B98" s="31" t="s">
        <v>1286</v>
      </c>
      <c r="C98" s="31" t="s">
        <v>1287</v>
      </c>
      <c r="D98" s="32" t="n">
        <v>62000</v>
      </c>
      <c r="E98" s="32" t="n">
        <v>62000</v>
      </c>
      <c r="F98" s="31" t="s">
        <v>1288</v>
      </c>
      <c r="G98" s="31" t="s">
        <v>770</v>
      </c>
      <c r="H98" s="31" t="s">
        <v>765</v>
      </c>
      <c r="I98" s="31" t="s">
        <v>1289</v>
      </c>
      <c r="J98" s="31" t="s">
        <v>1290</v>
      </c>
      <c r="K98" s="31" t="s">
        <v>1291</v>
      </c>
    </row>
    <row r="99" customFormat="false" ht="15" hidden="false" customHeight="false" outlineLevel="0" collapsed="false">
      <c r="A99" s="31" t="s">
        <v>1218</v>
      </c>
      <c r="B99" s="31" t="s">
        <v>1292</v>
      </c>
      <c r="C99" s="31" t="s">
        <v>1293</v>
      </c>
      <c r="D99" s="32" t="n">
        <v>500000</v>
      </c>
      <c r="E99" s="32" t="n">
        <v>500000</v>
      </c>
      <c r="F99" s="31" t="s">
        <v>1294</v>
      </c>
      <c r="G99" s="31" t="s">
        <v>1295</v>
      </c>
      <c r="H99" s="31" t="s">
        <v>776</v>
      </c>
      <c r="I99" s="31" t="s">
        <v>1296</v>
      </c>
      <c r="J99" s="31" t="s">
        <v>1297</v>
      </c>
      <c r="K99" s="31" t="s">
        <v>1298</v>
      </c>
    </row>
    <row r="100" customFormat="false" ht="15" hidden="false" customHeight="false" outlineLevel="0" collapsed="false">
      <c r="A100" s="31" t="s">
        <v>1218</v>
      </c>
      <c r="B100" s="31" t="s">
        <v>1299</v>
      </c>
      <c r="C100" s="31" t="s">
        <v>1300</v>
      </c>
      <c r="D100" s="32" t="n">
        <v>10</v>
      </c>
      <c r="E100" s="32" t="n">
        <v>10</v>
      </c>
      <c r="F100" s="31" t="s">
        <v>1301</v>
      </c>
      <c r="G100" s="31" t="s">
        <v>770</v>
      </c>
      <c r="H100" s="31" t="s">
        <v>765</v>
      </c>
      <c r="I100" s="31" t="s">
        <v>1283</v>
      </c>
      <c r="J100" s="31" t="s">
        <v>1284</v>
      </c>
      <c r="K100" s="31" t="s">
        <v>1302</v>
      </c>
    </row>
    <row r="101" customFormat="false" ht="15" hidden="false" customHeight="false" outlineLevel="0" collapsed="false">
      <c r="A101" s="31" t="s">
        <v>1218</v>
      </c>
      <c r="B101" s="31" t="s">
        <v>1303</v>
      </c>
      <c r="C101" s="31" t="s">
        <v>1304</v>
      </c>
      <c r="D101" s="32" t="n">
        <v>750</v>
      </c>
      <c r="E101" s="32" t="n">
        <v>13000</v>
      </c>
      <c r="F101" s="31" t="s">
        <v>184</v>
      </c>
      <c r="G101" s="31" t="s">
        <v>1305</v>
      </c>
      <c r="H101" s="31" t="s">
        <v>776</v>
      </c>
      <c r="I101" s="31" t="s">
        <v>1306</v>
      </c>
      <c r="J101" s="31" t="s">
        <v>1307</v>
      </c>
      <c r="K101" s="31" t="s">
        <v>1308</v>
      </c>
    </row>
    <row r="102" customFormat="false" ht="15" hidden="false" customHeight="false" outlineLevel="0" collapsed="false">
      <c r="A102" s="31" t="s">
        <v>1218</v>
      </c>
      <c r="B102" s="31" t="s">
        <v>1309</v>
      </c>
      <c r="C102" s="31" t="s">
        <v>1310</v>
      </c>
      <c r="D102" s="32" t="n">
        <v>250</v>
      </c>
      <c r="E102" s="32" t="n">
        <v>2500</v>
      </c>
      <c r="F102" s="31" t="s">
        <v>184</v>
      </c>
      <c r="G102" s="31" t="s">
        <v>1311</v>
      </c>
      <c r="H102" s="31" t="s">
        <v>870</v>
      </c>
      <c r="I102" s="31" t="s">
        <v>1312</v>
      </c>
      <c r="J102" s="31" t="s">
        <v>1313</v>
      </c>
      <c r="K102" s="31" t="s">
        <v>1314</v>
      </c>
    </row>
    <row r="103" customFormat="false" ht="15" hidden="false" customHeight="false" outlineLevel="0" collapsed="false">
      <c r="A103" s="31" t="s">
        <v>1218</v>
      </c>
      <c r="B103" s="31" t="s">
        <v>1315</v>
      </c>
      <c r="C103" s="31" t="s">
        <v>1316</v>
      </c>
      <c r="D103" s="32" t="n">
        <v>1.5</v>
      </c>
      <c r="E103" s="32" t="n">
        <v>1.5</v>
      </c>
      <c r="F103" s="31" t="s">
        <v>1317</v>
      </c>
      <c r="G103" s="31" t="s">
        <v>1318</v>
      </c>
      <c r="H103" s="31" t="s">
        <v>765</v>
      </c>
      <c r="I103" s="31" t="s">
        <v>1319</v>
      </c>
      <c r="J103" s="31" t="s">
        <v>1320</v>
      </c>
      <c r="K103" s="31" t="s">
        <v>1321</v>
      </c>
    </row>
    <row r="104" customFormat="false" ht="15" hidden="false" customHeight="false" outlineLevel="0" collapsed="false">
      <c r="A104" s="31" t="s">
        <v>1218</v>
      </c>
      <c r="B104" s="31" t="s">
        <v>1322</v>
      </c>
      <c r="C104" s="31" t="s">
        <v>1323</v>
      </c>
      <c r="D104" s="32" t="n">
        <v>1</v>
      </c>
      <c r="E104" s="32" t="n">
        <v>1</v>
      </c>
      <c r="F104" s="31" t="s">
        <v>1324</v>
      </c>
      <c r="G104" s="31" t="s">
        <v>1325</v>
      </c>
      <c r="H104" s="31" t="s">
        <v>870</v>
      </c>
      <c r="I104" s="31" t="s">
        <v>1326</v>
      </c>
      <c r="J104" s="31" t="s">
        <v>171</v>
      </c>
      <c r="K104" s="31" t="s">
        <v>1327</v>
      </c>
    </row>
    <row r="105" customFormat="false" ht="15" hidden="false" customHeight="false" outlineLevel="0" collapsed="false">
      <c r="A105" s="31" t="s">
        <v>1218</v>
      </c>
      <c r="B105" s="31" t="s">
        <v>1328</v>
      </c>
      <c r="C105" s="31" t="s">
        <v>1329</v>
      </c>
      <c r="D105" s="32" t="n">
        <v>40</v>
      </c>
      <c r="E105" s="32" t="n">
        <v>40</v>
      </c>
      <c r="F105" s="31" t="s">
        <v>1330</v>
      </c>
      <c r="G105" s="31" t="s">
        <v>1331</v>
      </c>
      <c r="H105" s="31" t="s">
        <v>776</v>
      </c>
      <c r="I105" s="31" t="s">
        <v>1332</v>
      </c>
      <c r="J105" s="31" t="s">
        <v>1333</v>
      </c>
      <c r="K105" s="31" t="s">
        <v>1334</v>
      </c>
    </row>
    <row r="106" customFormat="false" ht="15" hidden="false" customHeight="false" outlineLevel="0" collapsed="false">
      <c r="A106" s="31" t="s">
        <v>1218</v>
      </c>
      <c r="B106" s="31" t="s">
        <v>1335</v>
      </c>
      <c r="C106" s="31" t="s">
        <v>1336</v>
      </c>
      <c r="D106" s="32" t="n">
        <v>4</v>
      </c>
      <c r="E106" s="32" t="n">
        <v>30</v>
      </c>
      <c r="F106" s="31" t="s">
        <v>1337</v>
      </c>
      <c r="G106" s="31" t="s">
        <v>1338</v>
      </c>
      <c r="H106" s="31" t="s">
        <v>776</v>
      </c>
      <c r="I106" s="31" t="s">
        <v>1339</v>
      </c>
      <c r="J106" s="31" t="s">
        <v>1340</v>
      </c>
      <c r="K106" s="31" t="s">
        <v>1341</v>
      </c>
    </row>
    <row r="107" customFormat="false" ht="15" hidden="false" customHeight="false" outlineLevel="0" collapsed="false">
      <c r="A107" s="31" t="s">
        <v>1218</v>
      </c>
      <c r="B107" s="31" t="s">
        <v>1342</v>
      </c>
      <c r="C107" s="31" t="s">
        <v>1343</v>
      </c>
      <c r="D107" s="32" t="n">
        <v>1300</v>
      </c>
      <c r="E107" s="32" t="n">
        <v>1300</v>
      </c>
      <c r="F107" s="31" t="s">
        <v>1344</v>
      </c>
      <c r="G107" s="31" t="s">
        <v>1345</v>
      </c>
      <c r="H107" s="31" t="s">
        <v>776</v>
      </c>
      <c r="I107" s="31" t="s">
        <v>1346</v>
      </c>
      <c r="J107" s="31" t="s">
        <v>176</v>
      </c>
      <c r="K107" s="31" t="s">
        <v>1347</v>
      </c>
    </row>
    <row r="108" customFormat="false" ht="15" hidden="false" customHeight="false" outlineLevel="0" collapsed="false">
      <c r="A108" s="31" t="s">
        <v>1218</v>
      </c>
      <c r="B108" s="31" t="s">
        <v>1348</v>
      </c>
      <c r="C108" s="31" t="s">
        <v>1349</v>
      </c>
      <c r="D108" s="32" t="n">
        <v>80000</v>
      </c>
      <c r="E108" s="32" t="n">
        <v>120000</v>
      </c>
      <c r="F108" s="31" t="s">
        <v>184</v>
      </c>
      <c r="G108" s="31" t="s">
        <v>875</v>
      </c>
      <c r="H108" s="31" t="s">
        <v>776</v>
      </c>
      <c r="I108" s="31" t="s">
        <v>1350</v>
      </c>
      <c r="J108" s="31" t="s">
        <v>203</v>
      </c>
      <c r="K108" s="31" t="s">
        <v>1351</v>
      </c>
    </row>
    <row r="109" customFormat="false" ht="15" hidden="false" customHeight="false" outlineLevel="0" collapsed="false">
      <c r="A109" s="31" t="s">
        <v>1218</v>
      </c>
      <c r="B109" s="31" t="s">
        <v>1352</v>
      </c>
      <c r="C109" s="31" t="s">
        <v>1353</v>
      </c>
      <c r="D109" s="32" t="n">
        <v>85000</v>
      </c>
      <c r="E109" s="32" t="n">
        <v>250000</v>
      </c>
      <c r="F109" s="31" t="s">
        <v>184</v>
      </c>
      <c r="G109" s="31" t="s">
        <v>1082</v>
      </c>
      <c r="H109" s="31" t="s">
        <v>870</v>
      </c>
      <c r="I109" s="31" t="s">
        <v>1354</v>
      </c>
      <c r="J109" s="31" t="s">
        <v>207</v>
      </c>
      <c r="K109" s="31" t="s">
        <v>1355</v>
      </c>
    </row>
    <row r="110" customFormat="false" ht="15" hidden="false" customHeight="false" outlineLevel="0" collapsed="false">
      <c r="A110" s="31" t="s">
        <v>1218</v>
      </c>
      <c r="B110" s="31" t="s">
        <v>1356</v>
      </c>
      <c r="C110" s="31" t="s">
        <v>1357</v>
      </c>
      <c r="D110" s="32" t="n">
        <v>60000</v>
      </c>
      <c r="E110" s="32" t="n">
        <v>100000</v>
      </c>
      <c r="F110" s="31" t="s">
        <v>1358</v>
      </c>
      <c r="G110" s="31" t="s">
        <v>770</v>
      </c>
      <c r="H110" s="31" t="s">
        <v>776</v>
      </c>
      <c r="I110" s="31" t="s">
        <v>1359</v>
      </c>
      <c r="J110" s="31" t="s">
        <v>211</v>
      </c>
      <c r="K110" s="31" t="s">
        <v>1360</v>
      </c>
    </row>
    <row r="111" customFormat="false" ht="15" hidden="false" customHeight="false" outlineLevel="0" collapsed="false">
      <c r="A111" s="31" t="s">
        <v>1218</v>
      </c>
      <c r="B111" s="31" t="s">
        <v>1361</v>
      </c>
      <c r="C111" s="31" t="s">
        <v>1362</v>
      </c>
      <c r="D111" s="32" t="n">
        <v>1500</v>
      </c>
      <c r="E111" s="32" t="n">
        <v>2500</v>
      </c>
      <c r="F111" s="31" t="s">
        <v>1363</v>
      </c>
      <c r="G111" s="31" t="s">
        <v>936</v>
      </c>
      <c r="H111" s="31" t="s">
        <v>776</v>
      </c>
      <c r="I111" s="31" t="s">
        <v>1364</v>
      </c>
      <c r="J111" s="31" t="s">
        <v>367</v>
      </c>
      <c r="K111" s="31" t="s">
        <v>1365</v>
      </c>
    </row>
    <row r="112" customFormat="false" ht="15" hidden="false" customHeight="false" outlineLevel="0" collapsed="false">
      <c r="A112" s="31" t="s">
        <v>1218</v>
      </c>
      <c r="B112" s="31" t="s">
        <v>1366</v>
      </c>
      <c r="C112" s="31" t="s">
        <v>1367</v>
      </c>
      <c r="D112" s="32" t="n">
        <v>60000</v>
      </c>
      <c r="E112" s="32" t="n">
        <v>150000</v>
      </c>
      <c r="F112" s="31" t="s">
        <v>184</v>
      </c>
      <c r="G112" s="31" t="s">
        <v>770</v>
      </c>
      <c r="H112" s="31" t="s">
        <v>776</v>
      </c>
      <c r="I112" s="31" t="s">
        <v>1359</v>
      </c>
      <c r="J112" s="31" t="s">
        <v>211</v>
      </c>
      <c r="K112" s="31" t="s">
        <v>1368</v>
      </c>
    </row>
    <row r="113" customFormat="false" ht="15" hidden="false" customHeight="false" outlineLevel="0" collapsed="false">
      <c r="A113" s="31" t="s">
        <v>1218</v>
      </c>
      <c r="B113" s="31" t="s">
        <v>1369</v>
      </c>
      <c r="C113" s="31" t="s">
        <v>1370</v>
      </c>
      <c r="D113" s="32" t="n">
        <v>50000</v>
      </c>
      <c r="E113" s="32" t="n">
        <v>80000</v>
      </c>
      <c r="F113" s="31" t="s">
        <v>184</v>
      </c>
      <c r="G113" s="31" t="s">
        <v>875</v>
      </c>
      <c r="H113" s="31" t="s">
        <v>870</v>
      </c>
      <c r="I113" s="31" t="s">
        <v>1371</v>
      </c>
      <c r="J113" s="31" t="s">
        <v>195</v>
      </c>
      <c r="K113" s="31" t="s">
        <v>1372</v>
      </c>
    </row>
    <row r="114" customFormat="false" ht="15" hidden="false" customHeight="false" outlineLevel="0" collapsed="false">
      <c r="A114" s="31" t="s">
        <v>1218</v>
      </c>
      <c r="B114" s="31" t="s">
        <v>1373</v>
      </c>
      <c r="C114" s="31" t="s">
        <v>1374</v>
      </c>
      <c r="D114" s="32" t="n">
        <v>135000</v>
      </c>
      <c r="E114" s="32" t="n">
        <v>150000</v>
      </c>
      <c r="F114" s="31" t="s">
        <v>1375</v>
      </c>
      <c r="G114" s="31" t="s">
        <v>1376</v>
      </c>
      <c r="H114" s="31" t="s">
        <v>870</v>
      </c>
      <c r="I114" s="31" t="s">
        <v>1377</v>
      </c>
      <c r="J114" s="31" t="s">
        <v>186</v>
      </c>
      <c r="K114" s="31" t="s">
        <v>1378</v>
      </c>
    </row>
    <row r="115" customFormat="false" ht="15" hidden="false" customHeight="false" outlineLevel="0" collapsed="false">
      <c r="A115" s="31" t="s">
        <v>1218</v>
      </c>
      <c r="B115" s="31" t="s">
        <v>1379</v>
      </c>
      <c r="C115" s="31" t="s">
        <v>1380</v>
      </c>
      <c r="D115" s="32" t="n">
        <v>70000</v>
      </c>
      <c r="E115" s="32" t="n">
        <v>120000</v>
      </c>
      <c r="F115" s="31" t="s">
        <v>184</v>
      </c>
      <c r="G115" s="31" t="s">
        <v>875</v>
      </c>
      <c r="H115" s="31" t="s">
        <v>776</v>
      </c>
      <c r="I115" s="31" t="s">
        <v>1381</v>
      </c>
      <c r="J115" s="31" t="s">
        <v>217</v>
      </c>
      <c r="K115" s="31" t="s">
        <v>1382</v>
      </c>
    </row>
    <row r="116" customFormat="false" ht="15" hidden="false" customHeight="false" outlineLevel="0" collapsed="false">
      <c r="A116" s="31" t="s">
        <v>1218</v>
      </c>
      <c r="B116" s="31" t="s">
        <v>1383</v>
      </c>
      <c r="C116" s="31" t="s">
        <v>1384</v>
      </c>
      <c r="D116" s="32" t="n">
        <v>150000</v>
      </c>
      <c r="E116" s="32" t="n">
        <v>250000</v>
      </c>
      <c r="F116" s="31" t="s">
        <v>184</v>
      </c>
      <c r="G116" s="31" t="s">
        <v>1385</v>
      </c>
      <c r="H116" s="31" t="s">
        <v>776</v>
      </c>
      <c r="I116" s="31" t="s">
        <v>1386</v>
      </c>
      <c r="J116" s="31" t="s">
        <v>221</v>
      </c>
      <c r="K116" s="31" t="s">
        <v>1387</v>
      </c>
    </row>
    <row r="117" customFormat="false" ht="15" hidden="false" customHeight="false" outlineLevel="0" collapsed="false">
      <c r="A117" s="31" t="s">
        <v>1218</v>
      </c>
      <c r="B117" s="31" t="s">
        <v>1388</v>
      </c>
      <c r="C117" s="31" t="s">
        <v>1389</v>
      </c>
      <c r="D117" s="32" t="n">
        <v>100000</v>
      </c>
      <c r="E117" s="32" t="n">
        <v>100000</v>
      </c>
      <c r="F117" s="31" t="s">
        <v>1390</v>
      </c>
      <c r="G117" s="31" t="s">
        <v>1391</v>
      </c>
      <c r="H117" s="31" t="s">
        <v>870</v>
      </c>
      <c r="I117" s="31" t="s">
        <v>1392</v>
      </c>
      <c r="J117" s="31" t="s">
        <v>1393</v>
      </c>
      <c r="K117" s="31" t="s">
        <v>1394</v>
      </c>
    </row>
    <row r="118" customFormat="false" ht="15" hidden="false" customHeight="false" outlineLevel="0" collapsed="false">
      <c r="A118" s="31" t="s">
        <v>1218</v>
      </c>
      <c r="B118" s="31" t="s">
        <v>1395</v>
      </c>
      <c r="C118" s="31" t="s">
        <v>1396</v>
      </c>
      <c r="D118" s="32" t="n">
        <v>50000</v>
      </c>
      <c r="E118" s="32" t="n">
        <v>150000</v>
      </c>
      <c r="F118" s="31" t="s">
        <v>184</v>
      </c>
      <c r="G118" s="31" t="s">
        <v>1397</v>
      </c>
      <c r="H118" s="31" t="s">
        <v>870</v>
      </c>
      <c r="I118" s="31" t="s">
        <v>1398</v>
      </c>
      <c r="J118" s="31" t="s">
        <v>229</v>
      </c>
      <c r="K118" s="31" t="s">
        <v>1399</v>
      </c>
    </row>
    <row r="119" customFormat="false" ht="15" hidden="false" customHeight="false" outlineLevel="0" collapsed="false">
      <c r="A119" s="31" t="s">
        <v>1218</v>
      </c>
      <c r="B119" s="31" t="s">
        <v>1400</v>
      </c>
      <c r="C119" s="31" t="s">
        <v>1401</v>
      </c>
      <c r="D119" s="32" t="n">
        <v>100000</v>
      </c>
      <c r="E119" s="32" t="n">
        <v>375000</v>
      </c>
      <c r="F119" s="31" t="s">
        <v>184</v>
      </c>
      <c r="G119" s="31" t="s">
        <v>1402</v>
      </c>
      <c r="H119" s="31" t="s">
        <v>870</v>
      </c>
      <c r="I119" s="31" t="s">
        <v>1403</v>
      </c>
      <c r="J119" s="31" t="s">
        <v>225</v>
      </c>
      <c r="K119" s="31" t="s">
        <v>1404</v>
      </c>
    </row>
    <row r="120" customFormat="false" ht="15" hidden="false" customHeight="false" outlineLevel="0" collapsed="false">
      <c r="A120" s="31" t="s">
        <v>1218</v>
      </c>
      <c r="B120" s="31" t="s">
        <v>1405</v>
      </c>
      <c r="C120" s="31" t="s">
        <v>1406</v>
      </c>
      <c r="D120" s="32" t="n">
        <v>150000</v>
      </c>
      <c r="E120" s="32" t="n">
        <v>800000</v>
      </c>
      <c r="F120" s="31" t="s">
        <v>184</v>
      </c>
      <c r="G120" s="31" t="s">
        <v>875</v>
      </c>
      <c r="H120" s="31" t="s">
        <v>776</v>
      </c>
      <c r="I120" s="31" t="s">
        <v>1407</v>
      </c>
      <c r="J120" s="31" t="s">
        <v>235</v>
      </c>
      <c r="K120" s="31" t="s">
        <v>1408</v>
      </c>
    </row>
    <row r="121" customFormat="false" ht="15" hidden="false" customHeight="false" outlineLevel="0" collapsed="false">
      <c r="A121" s="31" t="s">
        <v>1218</v>
      </c>
      <c r="B121" s="31" t="s">
        <v>1409</v>
      </c>
      <c r="C121" s="31" t="s">
        <v>1410</v>
      </c>
      <c r="D121" s="32" t="n">
        <v>200000</v>
      </c>
      <c r="E121" s="32" t="n">
        <v>750000</v>
      </c>
      <c r="F121" s="31" t="s">
        <v>184</v>
      </c>
      <c r="G121" s="31" t="s">
        <v>770</v>
      </c>
      <c r="H121" s="31" t="s">
        <v>776</v>
      </c>
      <c r="I121" s="31" t="s">
        <v>1411</v>
      </c>
      <c r="J121" s="31" t="s">
        <v>239</v>
      </c>
      <c r="K121" s="31" t="s">
        <v>1412</v>
      </c>
    </row>
    <row r="122" customFormat="false" ht="15" hidden="false" customHeight="false" outlineLevel="0" collapsed="false">
      <c r="A122" s="31" t="s">
        <v>1218</v>
      </c>
      <c r="B122" s="31" t="s">
        <v>1413</v>
      </c>
      <c r="C122" s="31" t="s">
        <v>1414</v>
      </c>
      <c r="D122" s="32" t="n">
        <v>350000</v>
      </c>
      <c r="E122" s="32" t="n">
        <v>800000</v>
      </c>
      <c r="F122" s="31" t="s">
        <v>184</v>
      </c>
      <c r="G122" s="31" t="s">
        <v>770</v>
      </c>
      <c r="H122" s="31" t="s">
        <v>870</v>
      </c>
      <c r="I122" s="31" t="s">
        <v>1415</v>
      </c>
      <c r="J122" s="31" t="s">
        <v>199</v>
      </c>
      <c r="K122" s="31" t="s">
        <v>1416</v>
      </c>
    </row>
    <row r="123" customFormat="false" ht="15" hidden="false" customHeight="false" outlineLevel="0" collapsed="false">
      <c r="A123" s="31" t="s">
        <v>1218</v>
      </c>
      <c r="B123" s="31" t="s">
        <v>1417</v>
      </c>
      <c r="C123" s="31" t="s">
        <v>1418</v>
      </c>
      <c r="D123" s="32" t="n">
        <v>150000</v>
      </c>
      <c r="E123" s="32" t="n">
        <v>500000</v>
      </c>
      <c r="F123" s="31" t="s">
        <v>184</v>
      </c>
      <c r="G123" s="31" t="s">
        <v>875</v>
      </c>
      <c r="H123" s="31" t="s">
        <v>776</v>
      </c>
      <c r="I123" s="31" t="s">
        <v>1371</v>
      </c>
      <c r="J123" s="31" t="s">
        <v>195</v>
      </c>
      <c r="K123" s="31" t="s">
        <v>1419</v>
      </c>
    </row>
    <row r="124" customFormat="false" ht="15" hidden="false" customHeight="false" outlineLevel="0" collapsed="false">
      <c r="A124" s="31" t="s">
        <v>1218</v>
      </c>
      <c r="B124" s="31" t="s">
        <v>1420</v>
      </c>
      <c r="C124" s="31" t="s">
        <v>1421</v>
      </c>
      <c r="D124" s="32" t="n">
        <v>1000000</v>
      </c>
      <c r="E124" s="32" t="n">
        <v>5000000</v>
      </c>
      <c r="F124" s="31" t="s">
        <v>184</v>
      </c>
      <c r="G124" s="31" t="s">
        <v>1385</v>
      </c>
      <c r="H124" s="31" t="s">
        <v>870</v>
      </c>
      <c r="I124" s="31" t="s">
        <v>1371</v>
      </c>
      <c r="J124" s="31" t="s">
        <v>195</v>
      </c>
      <c r="K124" s="31" t="s">
        <v>1422</v>
      </c>
    </row>
    <row r="125" customFormat="false" ht="15" hidden="false" customHeight="false" outlineLevel="0" collapsed="false">
      <c r="A125" s="31" t="s">
        <v>1218</v>
      </c>
      <c r="B125" s="31" t="s">
        <v>1423</v>
      </c>
      <c r="C125" s="31" t="s">
        <v>1424</v>
      </c>
      <c r="D125" s="32" t="n">
        <v>160000</v>
      </c>
      <c r="E125" s="32" t="n">
        <v>250000</v>
      </c>
      <c r="F125" s="31" t="s">
        <v>184</v>
      </c>
      <c r="G125" s="31" t="s">
        <v>875</v>
      </c>
      <c r="H125" s="31" t="s">
        <v>870</v>
      </c>
      <c r="I125" s="31" t="s">
        <v>1425</v>
      </c>
      <c r="J125" s="31" t="s">
        <v>246</v>
      </c>
      <c r="K125" s="31" t="s">
        <v>1426</v>
      </c>
    </row>
    <row r="126" customFormat="false" ht="15" hidden="false" customHeight="false" outlineLevel="0" collapsed="false">
      <c r="A126" s="31" t="s">
        <v>1427</v>
      </c>
      <c r="B126" s="31" t="s">
        <v>1428</v>
      </c>
      <c r="C126" s="31" t="s">
        <v>1429</v>
      </c>
      <c r="D126" s="32" t="n">
        <v>63000</v>
      </c>
      <c r="E126" s="32" t="n">
        <v>63000</v>
      </c>
      <c r="F126" s="31" t="s">
        <v>1430</v>
      </c>
      <c r="G126" s="31" t="s">
        <v>1431</v>
      </c>
      <c r="H126" s="31" t="s">
        <v>776</v>
      </c>
      <c r="I126" s="31" t="s">
        <v>1432</v>
      </c>
      <c r="J126" s="31" t="s">
        <v>1433</v>
      </c>
      <c r="K126" s="31" t="s">
        <v>1434</v>
      </c>
    </row>
    <row r="127" customFormat="false" ht="15" hidden="false" customHeight="false" outlineLevel="0" collapsed="false">
      <c r="A127" s="31" t="s">
        <v>1427</v>
      </c>
      <c r="B127" s="31" t="s">
        <v>1435</v>
      </c>
      <c r="C127" s="31" t="s">
        <v>1436</v>
      </c>
      <c r="D127" s="32" t="n">
        <v>10000</v>
      </c>
      <c r="E127" s="32" t="n">
        <v>30000</v>
      </c>
      <c r="F127" s="31" t="s">
        <v>1430</v>
      </c>
      <c r="G127" s="31" t="s">
        <v>1437</v>
      </c>
      <c r="H127" s="31" t="s">
        <v>776</v>
      </c>
      <c r="I127" s="31" t="s">
        <v>1438</v>
      </c>
      <c r="J127" s="31" t="s">
        <v>1439</v>
      </c>
      <c r="K127" s="31" t="s">
        <v>1440</v>
      </c>
    </row>
    <row r="128" customFormat="false" ht="15" hidden="false" customHeight="false" outlineLevel="0" collapsed="false">
      <c r="A128" s="31" t="s">
        <v>1427</v>
      </c>
      <c r="B128" s="31" t="s">
        <v>1441</v>
      </c>
      <c r="C128" s="31" t="s">
        <v>1442</v>
      </c>
      <c r="D128" s="32" t="n">
        <v>10000</v>
      </c>
      <c r="E128" s="32" t="n">
        <v>10000</v>
      </c>
      <c r="F128" s="31" t="s">
        <v>1430</v>
      </c>
      <c r="G128" s="31" t="s">
        <v>1443</v>
      </c>
      <c r="H128" s="31" t="s">
        <v>870</v>
      </c>
      <c r="I128" s="31" t="s">
        <v>1444</v>
      </c>
      <c r="J128" s="31" t="s">
        <v>1445</v>
      </c>
      <c r="K128" s="31" t="s">
        <v>1446</v>
      </c>
    </row>
    <row r="129" customFormat="false" ht="15" hidden="false" customHeight="false" outlineLevel="0" collapsed="false">
      <c r="A129" s="31" t="s">
        <v>1427</v>
      </c>
      <c r="B129" s="31" t="s">
        <v>1447</v>
      </c>
      <c r="C129" s="31" t="s">
        <v>1448</v>
      </c>
      <c r="D129" s="32" t="n">
        <v>35000</v>
      </c>
      <c r="E129" s="32" t="n">
        <v>35000</v>
      </c>
      <c r="F129" s="31" t="s">
        <v>1430</v>
      </c>
      <c r="G129" s="31" t="s">
        <v>1443</v>
      </c>
      <c r="H129" s="31" t="s">
        <v>870</v>
      </c>
      <c r="I129" s="31" t="s">
        <v>1444</v>
      </c>
      <c r="J129" s="31" t="s">
        <v>1445</v>
      </c>
      <c r="K129" s="31" t="s">
        <v>1449</v>
      </c>
    </row>
    <row r="130" customFormat="false" ht="15" hidden="false" customHeight="false" outlineLevel="0" collapsed="false">
      <c r="A130" s="31" t="s">
        <v>1427</v>
      </c>
      <c r="B130" s="31" t="s">
        <v>1450</v>
      </c>
      <c r="C130" s="31" t="s">
        <v>1451</v>
      </c>
      <c r="D130" s="32" t="n">
        <v>25000</v>
      </c>
      <c r="E130" s="32" t="n">
        <v>50000</v>
      </c>
      <c r="F130" s="31" t="s">
        <v>1430</v>
      </c>
      <c r="G130" s="31" t="s">
        <v>1452</v>
      </c>
      <c r="H130" s="31" t="s">
        <v>776</v>
      </c>
      <c r="I130" s="31" t="s">
        <v>1453</v>
      </c>
      <c r="J130" s="31" t="s">
        <v>305</v>
      </c>
      <c r="K130" s="31" t="s">
        <v>1454</v>
      </c>
    </row>
    <row r="131" customFormat="false" ht="15" hidden="false" customHeight="false" outlineLevel="0" collapsed="false">
      <c r="A131" s="31" t="s">
        <v>1427</v>
      </c>
      <c r="B131" s="31" t="s">
        <v>1455</v>
      </c>
      <c r="C131" s="31" t="s">
        <v>1456</v>
      </c>
      <c r="D131" s="32" t="n">
        <v>5000</v>
      </c>
      <c r="E131" s="32" t="n">
        <v>25000</v>
      </c>
      <c r="F131" s="31" t="s">
        <v>1430</v>
      </c>
      <c r="G131" s="31" t="s">
        <v>1457</v>
      </c>
      <c r="H131" s="31" t="s">
        <v>870</v>
      </c>
      <c r="I131" s="31" t="s">
        <v>1453</v>
      </c>
      <c r="J131" s="31" t="s">
        <v>305</v>
      </c>
      <c r="K131" s="31" t="s">
        <v>1458</v>
      </c>
    </row>
    <row r="132" customFormat="false" ht="15" hidden="false" customHeight="false" outlineLevel="0" collapsed="false">
      <c r="A132" s="31" t="s">
        <v>1427</v>
      </c>
      <c r="B132" s="31" t="s">
        <v>1459</v>
      </c>
      <c r="C132" s="31" t="s">
        <v>1460</v>
      </c>
      <c r="D132" s="32" t="n">
        <v>60000</v>
      </c>
      <c r="E132" s="32" t="n">
        <v>150000</v>
      </c>
      <c r="F132" s="31" t="s">
        <v>1430</v>
      </c>
      <c r="G132" s="31" t="s">
        <v>1437</v>
      </c>
      <c r="H132" s="31" t="s">
        <v>776</v>
      </c>
      <c r="I132" s="31" t="s">
        <v>1438</v>
      </c>
      <c r="J132" s="31" t="s">
        <v>1439</v>
      </c>
      <c r="K132" s="31" t="s">
        <v>1461</v>
      </c>
    </row>
    <row r="133" customFormat="false" ht="15" hidden="false" customHeight="false" outlineLevel="0" collapsed="false">
      <c r="A133" s="31" t="s">
        <v>1427</v>
      </c>
      <c r="B133" s="31" t="s">
        <v>1462</v>
      </c>
      <c r="C133" s="31" t="s">
        <v>1463</v>
      </c>
      <c r="D133" s="32" t="n">
        <v>234455</v>
      </c>
      <c r="E133" s="32" t="n">
        <v>234455</v>
      </c>
      <c r="F133" s="31" t="s">
        <v>1430</v>
      </c>
      <c r="G133" s="31" t="s">
        <v>1464</v>
      </c>
      <c r="H133" s="31" t="s">
        <v>776</v>
      </c>
      <c r="I133" s="31" t="s">
        <v>1465</v>
      </c>
      <c r="J133" s="31" t="s">
        <v>1466</v>
      </c>
      <c r="K133" s="31" t="s">
        <v>1467</v>
      </c>
    </row>
    <row r="134" customFormat="false" ht="15" hidden="false" customHeight="false" outlineLevel="0" collapsed="false">
      <c r="A134" s="31" t="s">
        <v>1427</v>
      </c>
      <c r="B134" s="31" t="s">
        <v>1468</v>
      </c>
      <c r="C134" s="31" t="s">
        <v>1469</v>
      </c>
      <c r="D134" s="32" t="n">
        <v>50000</v>
      </c>
      <c r="E134" s="32" t="n">
        <v>75000</v>
      </c>
      <c r="F134" s="31" t="s">
        <v>1430</v>
      </c>
      <c r="G134" s="31" t="s">
        <v>1470</v>
      </c>
      <c r="H134" s="31" t="s">
        <v>776</v>
      </c>
      <c r="I134" s="31" t="s">
        <v>1471</v>
      </c>
      <c r="J134" s="31" t="s">
        <v>1472</v>
      </c>
      <c r="K134" s="31" t="s">
        <v>1473</v>
      </c>
    </row>
    <row r="135" customFormat="false" ht="15" hidden="false" customHeight="false" outlineLevel="0" collapsed="false">
      <c r="A135" s="31" t="s">
        <v>1427</v>
      </c>
      <c r="B135" s="31" t="s">
        <v>1474</v>
      </c>
      <c r="C135" s="31" t="s">
        <v>1475</v>
      </c>
      <c r="D135" s="32" t="n">
        <v>10000</v>
      </c>
      <c r="E135" s="32" t="n">
        <v>10000</v>
      </c>
      <c r="F135" s="31" t="s">
        <v>1430</v>
      </c>
      <c r="G135" s="31" t="s">
        <v>1476</v>
      </c>
      <c r="H135" s="31" t="s">
        <v>776</v>
      </c>
      <c r="I135" s="31" t="s">
        <v>1477</v>
      </c>
      <c r="J135" s="31" t="s">
        <v>1478</v>
      </c>
      <c r="K135" s="31" t="s">
        <v>1479</v>
      </c>
    </row>
    <row r="136" customFormat="false" ht="15" hidden="false" customHeight="false" outlineLevel="0" collapsed="false">
      <c r="A136" s="31" t="s">
        <v>1427</v>
      </c>
      <c r="B136" s="31" t="s">
        <v>1480</v>
      </c>
      <c r="C136" s="31" t="s">
        <v>1481</v>
      </c>
      <c r="D136" s="32" t="n">
        <v>3000</v>
      </c>
      <c r="E136" s="32" t="n">
        <v>15000</v>
      </c>
      <c r="F136" s="31" t="s">
        <v>1430</v>
      </c>
      <c r="G136" s="31" t="s">
        <v>1437</v>
      </c>
      <c r="H136" s="31" t="s">
        <v>870</v>
      </c>
      <c r="I136" s="31" t="s">
        <v>1438</v>
      </c>
      <c r="J136" s="31" t="s">
        <v>1439</v>
      </c>
      <c r="K136" s="31" t="s">
        <v>1482</v>
      </c>
    </row>
    <row r="137" customFormat="false" ht="15" hidden="false" customHeight="false" outlineLevel="0" collapsed="false">
      <c r="A137" s="31" t="s">
        <v>1427</v>
      </c>
      <c r="B137" s="31" t="s">
        <v>1483</v>
      </c>
      <c r="C137" s="31" t="s">
        <v>1484</v>
      </c>
      <c r="D137" s="32" t="n">
        <v>35000</v>
      </c>
      <c r="E137" s="32" t="n">
        <v>70000</v>
      </c>
      <c r="F137" s="31" t="s">
        <v>1430</v>
      </c>
      <c r="G137" s="31" t="s">
        <v>1485</v>
      </c>
      <c r="H137" s="31" t="s">
        <v>776</v>
      </c>
      <c r="I137" s="31" t="s">
        <v>1486</v>
      </c>
      <c r="J137" s="31" t="s">
        <v>1487</v>
      </c>
      <c r="K137" s="31" t="s">
        <v>1488</v>
      </c>
    </row>
    <row r="138" customFormat="false" ht="15" hidden="false" customHeight="false" outlineLevel="0" collapsed="false">
      <c r="A138" s="31" t="s">
        <v>1427</v>
      </c>
      <c r="B138" s="31" t="s">
        <v>1489</v>
      </c>
      <c r="C138" s="31" t="s">
        <v>1490</v>
      </c>
      <c r="D138" s="32" t="n">
        <v>74890</v>
      </c>
      <c r="E138" s="32" t="n">
        <v>90000</v>
      </c>
      <c r="F138" s="31" t="s">
        <v>1430</v>
      </c>
      <c r="G138" s="31" t="s">
        <v>1485</v>
      </c>
      <c r="H138" s="31" t="s">
        <v>870</v>
      </c>
      <c r="I138" s="31" t="s">
        <v>1491</v>
      </c>
      <c r="J138" s="31" t="s">
        <v>1492</v>
      </c>
      <c r="K138" s="31" t="s">
        <v>1493</v>
      </c>
    </row>
    <row r="139" customFormat="false" ht="15" hidden="false" customHeight="false" outlineLevel="0" collapsed="false">
      <c r="A139" s="31" t="s">
        <v>1427</v>
      </c>
      <c r="B139" s="31" t="s">
        <v>1494</v>
      </c>
      <c r="C139" s="31" t="s">
        <v>1495</v>
      </c>
      <c r="D139" s="32" t="n">
        <v>40000</v>
      </c>
      <c r="E139" s="32" t="n">
        <v>80000</v>
      </c>
      <c r="F139" s="31" t="s">
        <v>1430</v>
      </c>
      <c r="G139" s="31" t="s">
        <v>1485</v>
      </c>
      <c r="H139" s="31" t="s">
        <v>776</v>
      </c>
      <c r="I139" s="31" t="s">
        <v>1496</v>
      </c>
      <c r="J139" s="31" t="s">
        <v>316</v>
      </c>
      <c r="K139" s="31" t="s">
        <v>1497</v>
      </c>
    </row>
    <row r="140" customFormat="false" ht="15" hidden="false" customHeight="false" outlineLevel="0" collapsed="false">
      <c r="A140" s="31" t="s">
        <v>1427</v>
      </c>
      <c r="B140" s="31" t="s">
        <v>1498</v>
      </c>
      <c r="C140" s="31" t="s">
        <v>1499</v>
      </c>
      <c r="D140" s="32" t="n">
        <v>80000</v>
      </c>
      <c r="E140" s="32" t="n">
        <v>200000</v>
      </c>
      <c r="F140" s="31" t="s">
        <v>1430</v>
      </c>
      <c r="G140" s="31" t="s">
        <v>1437</v>
      </c>
      <c r="H140" s="31" t="s">
        <v>776</v>
      </c>
      <c r="I140" s="31" t="s">
        <v>1438</v>
      </c>
      <c r="J140" s="31" t="s">
        <v>1439</v>
      </c>
      <c r="K140" s="31" t="s">
        <v>1500</v>
      </c>
    </row>
    <row r="141" customFormat="false" ht="15" hidden="false" customHeight="false" outlineLevel="0" collapsed="false">
      <c r="A141" s="31" t="s">
        <v>1427</v>
      </c>
      <c r="B141" s="31" t="s">
        <v>1501</v>
      </c>
      <c r="C141" s="31" t="s">
        <v>1502</v>
      </c>
      <c r="D141" s="32" t="n">
        <v>400</v>
      </c>
      <c r="E141" s="32" t="n">
        <v>1000</v>
      </c>
      <c r="F141" s="31" t="s">
        <v>1503</v>
      </c>
      <c r="G141" s="31" t="s">
        <v>770</v>
      </c>
      <c r="H141" s="31" t="s">
        <v>776</v>
      </c>
      <c r="I141" s="31" t="s">
        <v>1504</v>
      </c>
      <c r="J141" s="31" t="s">
        <v>1505</v>
      </c>
      <c r="K141" s="31" t="s">
        <v>1506</v>
      </c>
    </row>
    <row r="142" customFormat="false" ht="15" hidden="false" customHeight="false" outlineLevel="0" collapsed="false">
      <c r="A142" s="31" t="s">
        <v>1427</v>
      </c>
      <c r="B142" s="31" t="s">
        <v>1507</v>
      </c>
      <c r="C142" s="31" t="s">
        <v>1508</v>
      </c>
      <c r="D142" s="32" t="n">
        <v>120000</v>
      </c>
      <c r="E142" s="32" t="n">
        <v>180000</v>
      </c>
      <c r="F142" s="31" t="s">
        <v>1430</v>
      </c>
      <c r="G142" s="31" t="s">
        <v>875</v>
      </c>
      <c r="H142" s="31" t="s">
        <v>776</v>
      </c>
      <c r="I142" s="31" t="s">
        <v>1509</v>
      </c>
      <c r="J142" s="31" t="s">
        <v>297</v>
      </c>
      <c r="K142" s="31" t="s">
        <v>1510</v>
      </c>
    </row>
    <row r="143" customFormat="false" ht="15" hidden="false" customHeight="false" outlineLevel="0" collapsed="false">
      <c r="A143" s="31" t="s">
        <v>1427</v>
      </c>
      <c r="B143" s="31" t="s">
        <v>1511</v>
      </c>
      <c r="C143" s="31" t="s">
        <v>1512</v>
      </c>
      <c r="D143" s="32" t="n">
        <v>280000</v>
      </c>
      <c r="E143" s="32" t="n">
        <v>450000</v>
      </c>
      <c r="F143" s="31" t="s">
        <v>1430</v>
      </c>
      <c r="G143" s="31" t="s">
        <v>875</v>
      </c>
      <c r="H143" s="31" t="s">
        <v>776</v>
      </c>
      <c r="I143" s="31" t="s">
        <v>1509</v>
      </c>
      <c r="J143" s="31" t="s">
        <v>297</v>
      </c>
      <c r="K143" s="31" t="s">
        <v>1513</v>
      </c>
    </row>
    <row r="144" customFormat="false" ht="15" hidden="false" customHeight="false" outlineLevel="0" collapsed="false">
      <c r="A144" s="31" t="s">
        <v>1427</v>
      </c>
      <c r="B144" s="31" t="s">
        <v>1514</v>
      </c>
      <c r="C144" s="31" t="s">
        <v>1515</v>
      </c>
      <c r="D144" s="32" t="n">
        <v>150000</v>
      </c>
      <c r="E144" s="32" t="n">
        <v>400000</v>
      </c>
      <c r="F144" s="31" t="s">
        <v>1430</v>
      </c>
      <c r="G144" s="31" t="s">
        <v>1516</v>
      </c>
      <c r="H144" s="31" t="s">
        <v>870</v>
      </c>
      <c r="I144" s="31" t="s">
        <v>1517</v>
      </c>
      <c r="J144" s="31" t="s">
        <v>1518</v>
      </c>
      <c r="K144" s="31" t="s">
        <v>1519</v>
      </c>
    </row>
    <row r="145" customFormat="false" ht="15" hidden="false" customHeight="false" outlineLevel="0" collapsed="false">
      <c r="A145" s="31" t="s">
        <v>1427</v>
      </c>
      <c r="B145" s="31" t="s">
        <v>1520</v>
      </c>
      <c r="C145" s="31" t="s">
        <v>1521</v>
      </c>
      <c r="D145" s="32" t="n">
        <v>80000</v>
      </c>
      <c r="E145" s="32" t="n">
        <v>200000</v>
      </c>
      <c r="F145" s="31" t="s">
        <v>1430</v>
      </c>
      <c r="G145" s="31" t="s">
        <v>770</v>
      </c>
      <c r="H145" s="31" t="s">
        <v>870</v>
      </c>
      <c r="I145" s="31" t="s">
        <v>1522</v>
      </c>
      <c r="J145" s="31" t="s">
        <v>1523</v>
      </c>
      <c r="K145" s="31" t="s">
        <v>1524</v>
      </c>
    </row>
    <row r="146" customFormat="false" ht="15" hidden="false" customHeight="false" outlineLevel="0" collapsed="false">
      <c r="A146" s="31" t="s">
        <v>1427</v>
      </c>
      <c r="B146" s="31" t="s">
        <v>1525</v>
      </c>
      <c r="C146" s="31" t="s">
        <v>1526</v>
      </c>
      <c r="D146" s="32" t="n">
        <v>4800</v>
      </c>
      <c r="E146" s="32" t="n">
        <v>5500</v>
      </c>
      <c r="F146" s="31" t="s">
        <v>1527</v>
      </c>
      <c r="G146" s="31" t="s">
        <v>875</v>
      </c>
      <c r="H146" s="31" t="s">
        <v>776</v>
      </c>
      <c r="I146" s="31" t="s">
        <v>1509</v>
      </c>
      <c r="J146" s="31" t="s">
        <v>297</v>
      </c>
      <c r="K146" s="31" t="s">
        <v>1528</v>
      </c>
    </row>
    <row r="147" customFormat="false" ht="15" hidden="false" customHeight="false" outlineLevel="0" collapsed="false">
      <c r="A147" s="31" t="s">
        <v>1427</v>
      </c>
      <c r="B147" s="31" t="s">
        <v>1529</v>
      </c>
      <c r="C147" s="31" t="s">
        <v>1530</v>
      </c>
      <c r="D147" s="32" t="n">
        <v>3500</v>
      </c>
      <c r="E147" s="32" t="n">
        <v>4500</v>
      </c>
      <c r="F147" s="31" t="s">
        <v>1531</v>
      </c>
      <c r="G147" s="31" t="s">
        <v>875</v>
      </c>
      <c r="H147" s="31" t="s">
        <v>776</v>
      </c>
      <c r="I147" s="31" t="s">
        <v>1509</v>
      </c>
      <c r="J147" s="31" t="s">
        <v>297</v>
      </c>
      <c r="K147" s="31" t="s">
        <v>1532</v>
      </c>
    </row>
    <row r="148" customFormat="false" ht="15" hidden="false" customHeight="false" outlineLevel="0" collapsed="false">
      <c r="A148" s="31" t="s">
        <v>1427</v>
      </c>
      <c r="B148" s="31" t="s">
        <v>1533</v>
      </c>
      <c r="C148" s="31" t="s">
        <v>1534</v>
      </c>
      <c r="D148" s="32" t="n">
        <v>210526</v>
      </c>
      <c r="E148" s="32" t="n">
        <v>210526</v>
      </c>
      <c r="F148" s="31" t="s">
        <v>310</v>
      </c>
      <c r="G148" s="31" t="s">
        <v>1535</v>
      </c>
      <c r="H148" s="31" t="s">
        <v>870</v>
      </c>
      <c r="I148" s="31" t="s">
        <v>1536</v>
      </c>
      <c r="J148" s="31" t="s">
        <v>312</v>
      </c>
      <c r="K148" s="31" t="s">
        <v>1537</v>
      </c>
    </row>
    <row r="149" customFormat="false" ht="15" hidden="false" customHeight="false" outlineLevel="0" collapsed="false">
      <c r="A149" s="31" t="s">
        <v>1427</v>
      </c>
      <c r="B149" s="31" t="s">
        <v>1538</v>
      </c>
      <c r="C149" s="31" t="s">
        <v>1539</v>
      </c>
      <c r="D149" s="32" t="n">
        <v>18333</v>
      </c>
      <c r="E149" s="32" t="n">
        <v>18333</v>
      </c>
      <c r="F149" s="31" t="s">
        <v>1540</v>
      </c>
      <c r="G149" s="31" t="s">
        <v>1431</v>
      </c>
      <c r="H149" s="31" t="s">
        <v>870</v>
      </c>
      <c r="I149" s="31" t="s">
        <v>1541</v>
      </c>
      <c r="J149" s="31" t="s">
        <v>1542</v>
      </c>
      <c r="K149" s="31" t="s">
        <v>1543</v>
      </c>
    </row>
    <row r="150" customFormat="false" ht="15" hidden="false" customHeight="false" outlineLevel="0" collapsed="false">
      <c r="A150" s="31" t="s">
        <v>1427</v>
      </c>
      <c r="B150" s="31" t="s">
        <v>1544</v>
      </c>
      <c r="C150" s="31" t="s">
        <v>1545</v>
      </c>
      <c r="D150" s="32" t="n">
        <v>6538</v>
      </c>
      <c r="E150" s="32" t="n">
        <v>6538</v>
      </c>
      <c r="F150" s="31" t="s">
        <v>1540</v>
      </c>
      <c r="G150" s="31" t="s">
        <v>1431</v>
      </c>
      <c r="H150" s="31" t="s">
        <v>870</v>
      </c>
      <c r="I150" s="31" t="s">
        <v>1546</v>
      </c>
      <c r="J150" s="31" t="s">
        <v>1547</v>
      </c>
      <c r="K150" s="31" t="s">
        <v>1548</v>
      </c>
    </row>
    <row r="151" customFormat="false" ht="15" hidden="false" customHeight="false" outlineLevel="0" collapsed="false">
      <c r="A151" s="31" t="s">
        <v>1427</v>
      </c>
      <c r="B151" s="31" t="s">
        <v>1549</v>
      </c>
      <c r="C151" s="31" t="s">
        <v>1550</v>
      </c>
      <c r="D151" s="32" t="n">
        <v>499613</v>
      </c>
      <c r="E151" s="32" t="n">
        <v>499613</v>
      </c>
      <c r="F151" s="31" t="s">
        <v>1430</v>
      </c>
      <c r="G151" s="31" t="s">
        <v>875</v>
      </c>
      <c r="H151" s="31" t="s">
        <v>870</v>
      </c>
      <c r="I151" s="31" t="s">
        <v>1551</v>
      </c>
      <c r="J151" s="31" t="s">
        <v>1552</v>
      </c>
      <c r="K151" s="31" t="s">
        <v>1553</v>
      </c>
    </row>
    <row r="152" customFormat="false" ht="15" hidden="false" customHeight="false" outlineLevel="0" collapsed="false">
      <c r="A152" s="31" t="s">
        <v>1427</v>
      </c>
      <c r="B152" s="31" t="s">
        <v>1554</v>
      </c>
      <c r="C152" s="31" t="s">
        <v>1555</v>
      </c>
      <c r="D152" s="32" t="n">
        <v>10</v>
      </c>
      <c r="E152" s="32" t="n">
        <v>10</v>
      </c>
      <c r="F152" s="31" t="s">
        <v>37</v>
      </c>
      <c r="G152" s="31" t="s">
        <v>875</v>
      </c>
      <c r="H152" s="31" t="s">
        <v>776</v>
      </c>
      <c r="I152" s="31" t="s">
        <v>1438</v>
      </c>
      <c r="J152" s="31" t="s">
        <v>1439</v>
      </c>
      <c r="K152" s="31" t="s">
        <v>1556</v>
      </c>
    </row>
    <row r="153" customFormat="false" ht="15" hidden="false" customHeight="false" outlineLevel="0" collapsed="false">
      <c r="A153" s="31" t="s">
        <v>1557</v>
      </c>
      <c r="B153" s="31" t="s">
        <v>1558</v>
      </c>
      <c r="C153" s="31" t="s">
        <v>1559</v>
      </c>
      <c r="D153" s="32" t="n">
        <v>840</v>
      </c>
      <c r="E153" s="32" t="n">
        <v>840</v>
      </c>
      <c r="F153" s="31" t="s">
        <v>1560</v>
      </c>
      <c r="G153" s="31" t="s">
        <v>1561</v>
      </c>
      <c r="H153" s="31" t="s">
        <v>765</v>
      </c>
      <c r="I153" s="31" t="s">
        <v>1562</v>
      </c>
      <c r="J153" s="31" t="s">
        <v>355</v>
      </c>
      <c r="K153" s="31" t="s">
        <v>1563</v>
      </c>
    </row>
    <row r="154" customFormat="false" ht="15" hidden="false" customHeight="false" outlineLevel="0" collapsed="false">
      <c r="A154" s="31" t="s">
        <v>1557</v>
      </c>
      <c r="B154" s="31" t="s">
        <v>1564</v>
      </c>
      <c r="C154" s="31" t="s">
        <v>1565</v>
      </c>
      <c r="D154" s="32" t="n">
        <v>828</v>
      </c>
      <c r="E154" s="32" t="n">
        <v>828</v>
      </c>
      <c r="F154" s="31" t="s">
        <v>1560</v>
      </c>
      <c r="G154" s="31" t="s">
        <v>1561</v>
      </c>
      <c r="H154" s="31" t="s">
        <v>765</v>
      </c>
      <c r="I154" s="31" t="s">
        <v>1562</v>
      </c>
      <c r="J154" s="31" t="s">
        <v>355</v>
      </c>
      <c r="K154" s="31" t="s">
        <v>1566</v>
      </c>
    </row>
    <row r="155" customFormat="false" ht="15" hidden="false" customHeight="false" outlineLevel="0" collapsed="false">
      <c r="A155" s="31" t="s">
        <v>1557</v>
      </c>
      <c r="B155" s="31" t="s">
        <v>1567</v>
      </c>
      <c r="C155" s="31" t="s">
        <v>1568</v>
      </c>
      <c r="D155" s="32" t="n">
        <v>786.93</v>
      </c>
      <c r="E155" s="32" t="n">
        <v>974.93</v>
      </c>
      <c r="F155" s="31" t="s">
        <v>1569</v>
      </c>
      <c r="G155" s="31" t="s">
        <v>1570</v>
      </c>
      <c r="H155" s="31" t="s">
        <v>776</v>
      </c>
      <c r="I155" s="31" t="s">
        <v>1571</v>
      </c>
      <c r="J155" s="31" t="s">
        <v>1572</v>
      </c>
      <c r="K155" s="31" t="s">
        <v>1573</v>
      </c>
    </row>
    <row r="156" customFormat="false" ht="15" hidden="false" customHeight="false" outlineLevel="0" collapsed="false">
      <c r="A156" s="31" t="s">
        <v>1557</v>
      </c>
      <c r="B156" s="31" t="s">
        <v>1574</v>
      </c>
      <c r="C156" s="31" t="s">
        <v>1575</v>
      </c>
      <c r="D156" s="32" t="n">
        <v>260000</v>
      </c>
      <c r="E156" s="32" t="n">
        <v>700000</v>
      </c>
      <c r="F156" s="31" t="s">
        <v>2</v>
      </c>
      <c r="G156" s="31" t="s">
        <v>1576</v>
      </c>
      <c r="H156" s="31" t="s">
        <v>870</v>
      </c>
      <c r="I156" s="31" t="s">
        <v>1577</v>
      </c>
      <c r="J156" s="31" t="s">
        <v>1578</v>
      </c>
      <c r="K156" s="31" t="s">
        <v>1579</v>
      </c>
    </row>
    <row r="157" customFormat="false" ht="15" hidden="false" customHeight="false" outlineLevel="0" collapsed="false">
      <c r="A157" s="31" t="s">
        <v>1557</v>
      </c>
      <c r="B157" s="31" t="s">
        <v>1580</v>
      </c>
      <c r="C157" s="31" t="s">
        <v>1581</v>
      </c>
      <c r="D157" s="32" t="n">
        <v>450000</v>
      </c>
      <c r="E157" s="32" t="n">
        <v>550000</v>
      </c>
      <c r="F157" s="31" t="s">
        <v>2</v>
      </c>
      <c r="G157" s="31" t="s">
        <v>1582</v>
      </c>
      <c r="H157" s="31" t="s">
        <v>870</v>
      </c>
      <c r="I157" s="31" t="s">
        <v>1583</v>
      </c>
      <c r="J157" s="31" t="s">
        <v>335</v>
      </c>
      <c r="K157" s="31" t="s">
        <v>1584</v>
      </c>
    </row>
    <row r="158" customFormat="false" ht="15" hidden="false" customHeight="false" outlineLevel="0" collapsed="false">
      <c r="A158" s="31" t="s">
        <v>1557</v>
      </c>
      <c r="B158" s="31" t="s">
        <v>1585</v>
      </c>
      <c r="C158" s="31" t="s">
        <v>1586</v>
      </c>
      <c r="D158" s="32" t="n">
        <v>250000</v>
      </c>
      <c r="E158" s="32" t="n">
        <v>850000</v>
      </c>
      <c r="F158" s="31" t="s">
        <v>2</v>
      </c>
      <c r="G158" s="31" t="s">
        <v>1582</v>
      </c>
      <c r="H158" s="31" t="s">
        <v>870</v>
      </c>
      <c r="I158" s="31" t="s">
        <v>1587</v>
      </c>
      <c r="J158" s="31" t="s">
        <v>1588</v>
      </c>
      <c r="K158" s="31" t="s">
        <v>1589</v>
      </c>
    </row>
    <row r="159" customFormat="false" ht="15" hidden="false" customHeight="false" outlineLevel="0" collapsed="false">
      <c r="A159" s="31" t="s">
        <v>1557</v>
      </c>
      <c r="B159" s="31" t="s">
        <v>1590</v>
      </c>
      <c r="C159" s="31" t="s">
        <v>1591</v>
      </c>
      <c r="D159" s="32" t="n">
        <v>350000</v>
      </c>
      <c r="E159" s="32" t="n">
        <v>350000</v>
      </c>
      <c r="F159" s="31" t="s">
        <v>2</v>
      </c>
      <c r="G159" s="31" t="s">
        <v>1582</v>
      </c>
      <c r="H159" s="31" t="s">
        <v>870</v>
      </c>
      <c r="I159" s="31" t="s">
        <v>1592</v>
      </c>
      <c r="J159" s="31" t="s">
        <v>1593</v>
      </c>
      <c r="K159" s="31" t="s">
        <v>1594</v>
      </c>
    </row>
    <row r="160" customFormat="false" ht="15" hidden="false" customHeight="false" outlineLevel="0" collapsed="false">
      <c r="A160" s="31" t="s">
        <v>1557</v>
      </c>
      <c r="B160" s="31" t="s">
        <v>1595</v>
      </c>
      <c r="C160" s="31" t="s">
        <v>1596</v>
      </c>
      <c r="D160" s="32" t="n">
        <v>639000</v>
      </c>
      <c r="E160" s="32" t="n">
        <v>639000</v>
      </c>
      <c r="F160" s="31" t="s">
        <v>1597</v>
      </c>
      <c r="G160" s="31" t="s">
        <v>1598</v>
      </c>
      <c r="H160" s="31" t="s">
        <v>870</v>
      </c>
      <c r="I160" s="31" t="s">
        <v>1599</v>
      </c>
      <c r="J160" s="31" t="s">
        <v>1600</v>
      </c>
      <c r="K160" s="31" t="s">
        <v>1601</v>
      </c>
    </row>
    <row r="161" customFormat="false" ht="15" hidden="false" customHeight="false" outlineLevel="0" collapsed="false">
      <c r="A161" s="31" t="s">
        <v>1557</v>
      </c>
      <c r="B161" s="31" t="s">
        <v>1602</v>
      </c>
      <c r="C161" s="31" t="s">
        <v>1603</v>
      </c>
      <c r="D161" s="32" t="n">
        <v>500000</v>
      </c>
      <c r="E161" s="32" t="n">
        <v>540000</v>
      </c>
      <c r="F161" s="31" t="s">
        <v>2</v>
      </c>
      <c r="G161" s="31" t="s">
        <v>1604</v>
      </c>
      <c r="H161" s="31" t="s">
        <v>776</v>
      </c>
      <c r="I161" s="31" t="s">
        <v>1605</v>
      </c>
      <c r="J161" s="31" t="s">
        <v>1606</v>
      </c>
      <c r="K161" s="31" t="s">
        <v>1607</v>
      </c>
    </row>
    <row r="162" customFormat="false" ht="15" hidden="false" customHeight="false" outlineLevel="0" collapsed="false">
      <c r="A162" s="31" t="s">
        <v>1557</v>
      </c>
      <c r="B162" s="31" t="s">
        <v>1608</v>
      </c>
      <c r="C162" s="31" t="s">
        <v>1609</v>
      </c>
      <c r="D162" s="32" t="n">
        <v>5500000</v>
      </c>
      <c r="E162" s="32" t="n">
        <v>6800000</v>
      </c>
      <c r="F162" s="31" t="s">
        <v>2</v>
      </c>
      <c r="G162" s="31" t="s">
        <v>1582</v>
      </c>
      <c r="H162" s="31" t="s">
        <v>776</v>
      </c>
      <c r="I162" s="31" t="s">
        <v>1610</v>
      </c>
      <c r="J162" s="31" t="s">
        <v>1611</v>
      </c>
      <c r="K162" s="31" t="s">
        <v>1612</v>
      </c>
    </row>
    <row r="163" customFormat="false" ht="15" hidden="false" customHeight="false" outlineLevel="0" collapsed="false">
      <c r="A163" s="31" t="s">
        <v>1557</v>
      </c>
      <c r="B163" s="31" t="s">
        <v>1613</v>
      </c>
      <c r="C163" s="31" t="s">
        <v>1614</v>
      </c>
      <c r="D163" s="32" t="n">
        <v>12500000</v>
      </c>
      <c r="E163" s="32" t="n">
        <v>12500000</v>
      </c>
      <c r="F163" s="31" t="s">
        <v>2</v>
      </c>
      <c r="G163" s="31" t="s">
        <v>1615</v>
      </c>
      <c r="H163" s="31" t="s">
        <v>870</v>
      </c>
      <c r="I163" s="31" t="s">
        <v>1616</v>
      </c>
      <c r="J163" s="31" t="s">
        <v>339</v>
      </c>
      <c r="K163" s="31" t="s">
        <v>1617</v>
      </c>
    </row>
    <row r="164" customFormat="false" ht="15" hidden="false" customHeight="false" outlineLevel="0" collapsed="false">
      <c r="A164" s="31" t="s">
        <v>1557</v>
      </c>
      <c r="B164" s="31" t="s">
        <v>1618</v>
      </c>
      <c r="C164" s="31" t="s">
        <v>1619</v>
      </c>
      <c r="D164" s="32" t="n">
        <v>17900000</v>
      </c>
      <c r="E164" s="32" t="n">
        <v>17900000</v>
      </c>
      <c r="F164" s="31" t="s">
        <v>2</v>
      </c>
      <c r="G164" s="31" t="s">
        <v>1615</v>
      </c>
      <c r="H164" s="31" t="s">
        <v>870</v>
      </c>
      <c r="I164" s="31" t="s">
        <v>1620</v>
      </c>
      <c r="J164" s="31" t="s">
        <v>1621</v>
      </c>
      <c r="K164" s="31" t="s">
        <v>1622</v>
      </c>
    </row>
    <row r="165" customFormat="false" ht="15" hidden="false" customHeight="false" outlineLevel="0" collapsed="false">
      <c r="A165" s="31" t="s">
        <v>1557</v>
      </c>
      <c r="B165" s="31" t="s">
        <v>1623</v>
      </c>
      <c r="C165" s="31" t="s">
        <v>1624</v>
      </c>
      <c r="D165" s="32" t="n">
        <v>39900</v>
      </c>
      <c r="E165" s="32" t="n">
        <v>39900</v>
      </c>
      <c r="F165" s="31" t="s">
        <v>1625</v>
      </c>
      <c r="G165" s="31" t="s">
        <v>1626</v>
      </c>
      <c r="H165" s="31" t="s">
        <v>776</v>
      </c>
      <c r="I165" s="31" t="s">
        <v>1627</v>
      </c>
      <c r="J165" s="31" t="s">
        <v>1628</v>
      </c>
      <c r="K165" s="31" t="s">
        <v>1629</v>
      </c>
    </row>
    <row r="166" customFormat="false" ht="15" hidden="false" customHeight="false" outlineLevel="0" collapsed="false">
      <c r="A166" s="31" t="s">
        <v>1557</v>
      </c>
      <c r="B166" s="31" t="s">
        <v>1630</v>
      </c>
      <c r="C166" s="31" t="s">
        <v>1631</v>
      </c>
      <c r="D166" s="32" t="n">
        <v>1850000</v>
      </c>
      <c r="E166" s="32" t="n">
        <v>3000000</v>
      </c>
      <c r="F166" s="31" t="s">
        <v>2</v>
      </c>
      <c r="G166" s="31" t="s">
        <v>1582</v>
      </c>
      <c r="H166" s="31" t="s">
        <v>870</v>
      </c>
      <c r="I166" s="31" t="s">
        <v>1632</v>
      </c>
      <c r="J166" s="31" t="s">
        <v>1633</v>
      </c>
      <c r="K166" s="31" t="s">
        <v>1634</v>
      </c>
    </row>
    <row r="167" customFormat="false" ht="15" hidden="false" customHeight="false" outlineLevel="0" collapsed="false">
      <c r="A167" s="31" t="s">
        <v>1557</v>
      </c>
      <c r="B167" s="31" t="s">
        <v>1635</v>
      </c>
      <c r="C167" s="31" t="s">
        <v>1636</v>
      </c>
      <c r="D167" s="32" t="n">
        <v>19.25</v>
      </c>
      <c r="E167" s="32" t="n">
        <v>30</v>
      </c>
      <c r="F167" s="31" t="s">
        <v>1637</v>
      </c>
      <c r="G167" s="31" t="s">
        <v>1638</v>
      </c>
      <c r="H167" s="31" t="s">
        <v>776</v>
      </c>
      <c r="I167" s="31" t="s">
        <v>1639</v>
      </c>
      <c r="J167" s="31" t="s">
        <v>88</v>
      </c>
      <c r="K167" s="31" t="s">
        <v>1640</v>
      </c>
    </row>
    <row r="168" customFormat="false" ht="15" hidden="false" customHeight="false" outlineLevel="0" collapsed="false">
      <c r="A168" s="31" t="s">
        <v>1557</v>
      </c>
      <c r="B168" s="31" t="s">
        <v>1641</v>
      </c>
      <c r="C168" s="31" t="s">
        <v>1642</v>
      </c>
      <c r="D168" s="32" t="n">
        <v>5</v>
      </c>
      <c r="E168" s="32" t="n">
        <v>30</v>
      </c>
      <c r="F168" s="31" t="s">
        <v>1643</v>
      </c>
      <c r="G168" s="31" t="s">
        <v>1644</v>
      </c>
      <c r="H168" s="31" t="s">
        <v>776</v>
      </c>
      <c r="I168" s="31" t="s">
        <v>1645</v>
      </c>
      <c r="J168" s="31" t="s">
        <v>1646</v>
      </c>
      <c r="K168" s="31" t="s">
        <v>1647</v>
      </c>
    </row>
    <row r="169" customFormat="false" ht="15" hidden="false" customHeight="false" outlineLevel="0" collapsed="false">
      <c r="A169" s="31" t="s">
        <v>1557</v>
      </c>
      <c r="B169" s="31" t="s">
        <v>1648</v>
      </c>
      <c r="C169" s="31" t="s">
        <v>1649</v>
      </c>
      <c r="D169" s="32" t="n">
        <v>12.5</v>
      </c>
      <c r="E169" s="32" t="n">
        <v>25</v>
      </c>
      <c r="F169" s="31" t="s">
        <v>1650</v>
      </c>
      <c r="G169" s="31" t="s">
        <v>1651</v>
      </c>
      <c r="H169" s="31" t="s">
        <v>776</v>
      </c>
      <c r="I169" s="31" t="s">
        <v>1652</v>
      </c>
      <c r="J169" s="31" t="s">
        <v>1653</v>
      </c>
      <c r="K169" s="31" t="s">
        <v>1654</v>
      </c>
    </row>
    <row r="170" customFormat="false" ht="15" hidden="false" customHeight="false" outlineLevel="0" collapsed="false">
      <c r="A170" s="31" t="s">
        <v>1557</v>
      </c>
      <c r="B170" s="31" t="s">
        <v>1655</v>
      </c>
      <c r="C170" s="31" t="s">
        <v>1656</v>
      </c>
      <c r="D170" s="32" t="n">
        <v>30000</v>
      </c>
      <c r="E170" s="32" t="n">
        <v>30000</v>
      </c>
      <c r="F170" s="31" t="s">
        <v>1657</v>
      </c>
      <c r="G170" s="31" t="s">
        <v>1658</v>
      </c>
      <c r="H170" s="31" t="s">
        <v>776</v>
      </c>
      <c r="I170" s="31" t="s">
        <v>1659</v>
      </c>
      <c r="J170" s="31" t="s">
        <v>1660</v>
      </c>
      <c r="K170" s="31" t="s">
        <v>1661</v>
      </c>
    </row>
    <row r="171" customFormat="false" ht="15" hidden="false" customHeight="false" outlineLevel="0" collapsed="false">
      <c r="A171" s="31" t="s">
        <v>1557</v>
      </c>
      <c r="B171" s="31" t="s">
        <v>1662</v>
      </c>
      <c r="C171" s="31" t="s">
        <v>1663</v>
      </c>
      <c r="D171" s="32" t="n">
        <v>3000</v>
      </c>
      <c r="E171" s="32" t="n">
        <v>3000</v>
      </c>
      <c r="F171" s="31" t="s">
        <v>1664</v>
      </c>
      <c r="G171" s="31" t="s">
        <v>1665</v>
      </c>
      <c r="H171" s="31" t="s">
        <v>776</v>
      </c>
      <c r="I171" s="31" t="s">
        <v>1666</v>
      </c>
      <c r="J171" s="31" t="s">
        <v>1667</v>
      </c>
      <c r="K171" s="31" t="s">
        <v>1668</v>
      </c>
    </row>
    <row r="172" customFormat="false" ht="15" hidden="false" customHeight="false" outlineLevel="0" collapsed="false">
      <c r="A172" s="31" t="s">
        <v>1557</v>
      </c>
      <c r="B172" s="31" t="s">
        <v>1669</v>
      </c>
      <c r="C172" s="31" t="s">
        <v>1670</v>
      </c>
      <c r="D172" s="32" t="n">
        <v>5</v>
      </c>
      <c r="E172" s="32" t="n">
        <v>5</v>
      </c>
      <c r="F172" s="31" t="s">
        <v>1671</v>
      </c>
      <c r="G172" s="31" t="s">
        <v>1672</v>
      </c>
      <c r="H172" s="31" t="s">
        <v>776</v>
      </c>
      <c r="I172" s="31" t="s">
        <v>1673</v>
      </c>
      <c r="J172" s="31" t="s">
        <v>1674</v>
      </c>
      <c r="K172" s="31" t="s">
        <v>1675</v>
      </c>
    </row>
    <row r="173" customFormat="false" ht="15" hidden="false" customHeight="false" outlineLevel="0" collapsed="false">
      <c r="A173" s="31" t="s">
        <v>1557</v>
      </c>
      <c r="B173" s="31" t="s">
        <v>1676</v>
      </c>
      <c r="C173" s="31" t="s">
        <v>1677</v>
      </c>
      <c r="D173" s="32" t="n">
        <v>15000</v>
      </c>
      <c r="E173" s="32" t="n">
        <v>25000</v>
      </c>
      <c r="F173" s="31" t="s">
        <v>1678</v>
      </c>
      <c r="G173" s="31" t="s">
        <v>1672</v>
      </c>
      <c r="H173" s="31" t="s">
        <v>870</v>
      </c>
      <c r="I173" s="31" t="s">
        <v>1673</v>
      </c>
      <c r="J173" s="31" t="s">
        <v>1674</v>
      </c>
      <c r="K173" s="31" t="s">
        <v>1679</v>
      </c>
    </row>
    <row r="174" customFormat="false" ht="15" hidden="false" customHeight="false" outlineLevel="0" collapsed="false">
      <c r="A174" s="31" t="s">
        <v>1557</v>
      </c>
      <c r="B174" s="31" t="s">
        <v>1680</v>
      </c>
      <c r="C174" s="31" t="s">
        <v>1681</v>
      </c>
      <c r="D174" s="32" t="n">
        <v>1500</v>
      </c>
      <c r="E174" s="32" t="n">
        <v>2500</v>
      </c>
      <c r="F174" s="31" t="s">
        <v>1363</v>
      </c>
      <c r="G174" s="31" t="s">
        <v>1682</v>
      </c>
      <c r="H174" s="31" t="s">
        <v>776</v>
      </c>
      <c r="I174" s="31" t="s">
        <v>1683</v>
      </c>
      <c r="J174" s="31" t="s">
        <v>367</v>
      </c>
      <c r="K174" s="31" t="s">
        <v>1684</v>
      </c>
    </row>
    <row r="175" customFormat="false" ht="15" hidden="false" customHeight="false" outlineLevel="0" collapsed="false">
      <c r="A175" s="31" t="s">
        <v>1557</v>
      </c>
      <c r="B175" s="31" t="s">
        <v>1685</v>
      </c>
      <c r="C175" s="31" t="s">
        <v>1686</v>
      </c>
      <c r="D175" s="32" t="n">
        <v>500</v>
      </c>
      <c r="E175" s="32" t="n">
        <v>1800</v>
      </c>
      <c r="F175" s="31" t="s">
        <v>1687</v>
      </c>
      <c r="G175" s="31" t="s">
        <v>875</v>
      </c>
      <c r="H175" s="31" t="s">
        <v>870</v>
      </c>
      <c r="I175" s="31" t="s">
        <v>1688</v>
      </c>
      <c r="J175" s="31" t="s">
        <v>1689</v>
      </c>
      <c r="K175" s="31" t="s">
        <v>1690</v>
      </c>
    </row>
    <row r="176" customFormat="false" ht="15" hidden="false" customHeight="false" outlineLevel="0" collapsed="false">
      <c r="A176" s="31" t="s">
        <v>1557</v>
      </c>
      <c r="B176" s="31" t="s">
        <v>1691</v>
      </c>
      <c r="C176" s="31" t="s">
        <v>1692</v>
      </c>
      <c r="D176" s="32" t="n">
        <v>3000</v>
      </c>
      <c r="E176" s="32" t="n">
        <v>6000</v>
      </c>
      <c r="F176" s="31" t="s">
        <v>1693</v>
      </c>
      <c r="G176" s="31" t="s">
        <v>875</v>
      </c>
      <c r="H176" s="31" t="s">
        <v>870</v>
      </c>
      <c r="I176" s="31" t="s">
        <v>1688</v>
      </c>
      <c r="J176" s="31" t="s">
        <v>1689</v>
      </c>
      <c r="K176" s="31" t="s">
        <v>1694</v>
      </c>
    </row>
    <row r="177" customFormat="false" ht="15" hidden="false" customHeight="false" outlineLevel="0" collapsed="false">
      <c r="A177" s="31" t="s">
        <v>1557</v>
      </c>
      <c r="B177" s="31" t="s">
        <v>1695</v>
      </c>
      <c r="C177" s="31" t="s">
        <v>1696</v>
      </c>
      <c r="D177" s="32" t="n">
        <v>3500</v>
      </c>
      <c r="E177" s="32" t="n">
        <v>3500</v>
      </c>
      <c r="F177" s="31" t="s">
        <v>1697</v>
      </c>
      <c r="G177" s="31" t="s">
        <v>1698</v>
      </c>
      <c r="H177" s="31" t="s">
        <v>870</v>
      </c>
      <c r="I177" s="31" t="s">
        <v>1699</v>
      </c>
      <c r="J177" s="31" t="s">
        <v>1700</v>
      </c>
      <c r="K177" s="31" t="s">
        <v>1701</v>
      </c>
    </row>
    <row r="178" customFormat="false" ht="15" hidden="false" customHeight="false" outlineLevel="0" collapsed="false">
      <c r="A178" s="31" t="s">
        <v>1557</v>
      </c>
      <c r="B178" s="31" t="s">
        <v>1702</v>
      </c>
      <c r="C178" s="31" t="s">
        <v>1703</v>
      </c>
      <c r="D178" s="32" t="n">
        <v>1000</v>
      </c>
      <c r="E178" s="32" t="n">
        <v>1800</v>
      </c>
      <c r="F178" s="31" t="s">
        <v>1704</v>
      </c>
      <c r="G178" s="31" t="s">
        <v>875</v>
      </c>
      <c r="H178" s="31" t="s">
        <v>870</v>
      </c>
      <c r="I178" s="31" t="s">
        <v>1705</v>
      </c>
      <c r="J178" s="31" t="s">
        <v>1706</v>
      </c>
      <c r="K178" s="31" t="s">
        <v>1707</v>
      </c>
    </row>
    <row r="179" customFormat="false" ht="15" hidden="false" customHeight="false" outlineLevel="0" collapsed="false">
      <c r="A179" s="31" t="s">
        <v>1557</v>
      </c>
      <c r="B179" s="31" t="s">
        <v>1708</v>
      </c>
      <c r="C179" s="31" t="s">
        <v>1709</v>
      </c>
      <c r="D179" s="32" t="n">
        <v>120</v>
      </c>
      <c r="E179" s="32" t="n">
        <v>120</v>
      </c>
      <c r="F179" s="31" t="s">
        <v>1710</v>
      </c>
      <c r="G179" s="31" t="s">
        <v>1711</v>
      </c>
      <c r="H179" s="31" t="s">
        <v>870</v>
      </c>
      <c r="I179" s="31" t="s">
        <v>1712</v>
      </c>
      <c r="J179" s="31" t="s">
        <v>1713</v>
      </c>
      <c r="K179" s="31" t="s">
        <v>1714</v>
      </c>
    </row>
    <row r="180" customFormat="false" ht="15" hidden="false" customHeight="false" outlineLevel="0" collapsed="false">
      <c r="A180" s="31" t="s">
        <v>1557</v>
      </c>
      <c r="B180" s="31" t="s">
        <v>1715</v>
      </c>
      <c r="C180" s="31" t="s">
        <v>1716</v>
      </c>
      <c r="D180" s="32" t="n">
        <v>65000</v>
      </c>
      <c r="E180" s="32" t="n">
        <v>70000</v>
      </c>
      <c r="F180" s="31" t="s">
        <v>1717</v>
      </c>
      <c r="G180" s="31" t="s">
        <v>1718</v>
      </c>
      <c r="H180" s="31" t="s">
        <v>870</v>
      </c>
      <c r="I180" s="31" t="s">
        <v>1719</v>
      </c>
      <c r="J180" s="31" t="s">
        <v>1720</v>
      </c>
      <c r="K180" s="31" t="s">
        <v>1721</v>
      </c>
    </row>
    <row r="181" customFormat="false" ht="15" hidden="false" customHeight="false" outlineLevel="0" collapsed="false">
      <c r="A181" s="31" t="s">
        <v>1557</v>
      </c>
      <c r="B181" s="31" t="s">
        <v>1722</v>
      </c>
      <c r="C181" s="31" t="s">
        <v>1723</v>
      </c>
      <c r="D181" s="32" t="n">
        <v>3000</v>
      </c>
      <c r="E181" s="32" t="n">
        <v>3000</v>
      </c>
      <c r="F181" s="31" t="s">
        <v>1724</v>
      </c>
      <c r="G181" s="31" t="s">
        <v>1725</v>
      </c>
      <c r="H181" s="31" t="s">
        <v>870</v>
      </c>
      <c r="I181" s="31" t="s">
        <v>1726</v>
      </c>
      <c r="J181" s="31" t="s">
        <v>1727</v>
      </c>
      <c r="K181" s="31" t="s">
        <v>1728</v>
      </c>
    </row>
    <row r="182" customFormat="false" ht="15" hidden="false" customHeight="false" outlineLevel="0" collapsed="false">
      <c r="A182" s="31" t="s">
        <v>1557</v>
      </c>
      <c r="B182" s="31" t="s">
        <v>1729</v>
      </c>
      <c r="C182" s="31" t="s">
        <v>1730</v>
      </c>
      <c r="D182" s="32" t="n">
        <v>1.4</v>
      </c>
      <c r="E182" s="32" t="n">
        <v>1.5</v>
      </c>
      <c r="F182" s="31" t="s">
        <v>360</v>
      </c>
      <c r="G182" s="31" t="s">
        <v>1731</v>
      </c>
      <c r="H182" s="31" t="s">
        <v>776</v>
      </c>
      <c r="I182" s="31" t="s">
        <v>1732</v>
      </c>
      <c r="J182" s="31" t="s">
        <v>1733</v>
      </c>
      <c r="K182" s="31" t="s">
        <v>1734</v>
      </c>
    </row>
    <row r="183" customFormat="false" ht="15" hidden="false" customHeight="false" outlineLevel="0" collapsed="false">
      <c r="A183" s="31" t="s">
        <v>1557</v>
      </c>
      <c r="B183" s="31" t="s">
        <v>1735</v>
      </c>
      <c r="C183" s="31" t="s">
        <v>1736</v>
      </c>
      <c r="D183" s="32" t="n">
        <v>1.85</v>
      </c>
      <c r="E183" s="32" t="n">
        <v>2.72</v>
      </c>
      <c r="F183" s="31" t="s">
        <v>360</v>
      </c>
      <c r="G183" s="31" t="s">
        <v>1737</v>
      </c>
      <c r="H183" s="31" t="s">
        <v>776</v>
      </c>
      <c r="I183" s="31" t="s">
        <v>1738</v>
      </c>
      <c r="J183" s="31" t="s">
        <v>362</v>
      </c>
      <c r="K183" s="31" t="s">
        <v>1739</v>
      </c>
    </row>
    <row r="184" customFormat="false" ht="15" hidden="false" customHeight="false" outlineLevel="0" collapsed="false">
      <c r="A184" s="31" t="s">
        <v>1740</v>
      </c>
      <c r="B184" s="31" t="s">
        <v>1741</v>
      </c>
      <c r="C184" s="31" t="s">
        <v>1742</v>
      </c>
      <c r="D184" s="32" t="n">
        <v>1949</v>
      </c>
      <c r="E184" s="32" t="n">
        <v>2299</v>
      </c>
      <c r="F184" s="31" t="s">
        <v>989</v>
      </c>
      <c r="G184" s="31" t="s">
        <v>1743</v>
      </c>
      <c r="H184" s="31" t="s">
        <v>776</v>
      </c>
      <c r="I184" s="31" t="s">
        <v>1744</v>
      </c>
      <c r="J184" s="31" t="s">
        <v>554</v>
      </c>
      <c r="K184" s="31" t="s">
        <v>1745</v>
      </c>
    </row>
    <row r="185" customFormat="false" ht="15" hidden="false" customHeight="false" outlineLevel="0" collapsed="false">
      <c r="A185" s="31" t="s">
        <v>1740</v>
      </c>
      <c r="B185" s="31" t="s">
        <v>1746</v>
      </c>
      <c r="C185" s="31" t="s">
        <v>1747</v>
      </c>
      <c r="D185" s="32" t="n">
        <v>1382</v>
      </c>
      <c r="E185" s="32" t="n">
        <v>1441</v>
      </c>
      <c r="F185" s="31" t="s">
        <v>989</v>
      </c>
      <c r="G185" s="31" t="s">
        <v>1748</v>
      </c>
      <c r="H185" s="31" t="s">
        <v>776</v>
      </c>
      <c r="I185" s="31" t="s">
        <v>1749</v>
      </c>
      <c r="J185" s="31" t="s">
        <v>1750</v>
      </c>
      <c r="K185" s="31" t="s">
        <v>1751</v>
      </c>
    </row>
    <row r="186" customFormat="false" ht="15" hidden="false" customHeight="false" outlineLevel="0" collapsed="false">
      <c r="A186" s="31" t="s">
        <v>1740</v>
      </c>
      <c r="B186" s="31" t="s">
        <v>1752</v>
      </c>
      <c r="C186" s="31" t="s">
        <v>1753</v>
      </c>
      <c r="D186" s="32" t="n">
        <v>809</v>
      </c>
      <c r="E186" s="32" t="n">
        <v>1049</v>
      </c>
      <c r="F186" s="31" t="s">
        <v>989</v>
      </c>
      <c r="G186" s="31" t="s">
        <v>1754</v>
      </c>
      <c r="H186" s="31" t="s">
        <v>870</v>
      </c>
      <c r="I186" s="31" t="s">
        <v>1755</v>
      </c>
      <c r="J186" s="31" t="s">
        <v>556</v>
      </c>
      <c r="K186" s="31" t="s">
        <v>1756</v>
      </c>
    </row>
    <row r="187" customFormat="false" ht="15" hidden="false" customHeight="false" outlineLevel="0" collapsed="false">
      <c r="A187" s="31" t="s">
        <v>1740</v>
      </c>
      <c r="B187" s="31" t="s">
        <v>1757</v>
      </c>
      <c r="C187" s="31" t="s">
        <v>557</v>
      </c>
      <c r="D187" s="32" t="n">
        <v>1523</v>
      </c>
      <c r="E187" s="32" t="n">
        <v>2399</v>
      </c>
      <c r="F187" s="31" t="s">
        <v>989</v>
      </c>
      <c r="G187" s="31" t="s">
        <v>1758</v>
      </c>
      <c r="H187" s="31" t="s">
        <v>776</v>
      </c>
      <c r="I187" s="31" t="s">
        <v>1759</v>
      </c>
      <c r="J187" s="31" t="s">
        <v>558</v>
      </c>
      <c r="K187" s="31" t="s">
        <v>1760</v>
      </c>
    </row>
    <row r="188" customFormat="false" ht="15" hidden="false" customHeight="false" outlineLevel="0" collapsed="false">
      <c r="A188" s="31" t="s">
        <v>1740</v>
      </c>
      <c r="B188" s="31" t="s">
        <v>1761</v>
      </c>
      <c r="C188" s="31" t="s">
        <v>1762</v>
      </c>
      <c r="D188" s="32" t="n">
        <v>899.95</v>
      </c>
      <c r="E188" s="32" t="n">
        <v>899.95</v>
      </c>
      <c r="F188" s="31" t="s">
        <v>989</v>
      </c>
      <c r="G188" s="31" t="s">
        <v>1763</v>
      </c>
      <c r="H188" s="31" t="s">
        <v>870</v>
      </c>
      <c r="I188" s="31" t="s">
        <v>1764</v>
      </c>
      <c r="J188" s="31" t="s">
        <v>562</v>
      </c>
      <c r="K188" s="31" t="s">
        <v>1765</v>
      </c>
    </row>
    <row r="189" customFormat="false" ht="15" hidden="false" customHeight="false" outlineLevel="0" collapsed="false">
      <c r="A189" s="31" t="s">
        <v>1740</v>
      </c>
      <c r="B189" s="31" t="s">
        <v>1766</v>
      </c>
      <c r="C189" s="31" t="s">
        <v>1767</v>
      </c>
      <c r="D189" s="32" t="n">
        <v>1598</v>
      </c>
      <c r="E189" s="32" t="n">
        <v>2395</v>
      </c>
      <c r="F189" s="31" t="s">
        <v>989</v>
      </c>
      <c r="G189" s="31" t="s">
        <v>1754</v>
      </c>
      <c r="H189" s="31" t="s">
        <v>870</v>
      </c>
      <c r="I189" s="31" t="s">
        <v>1768</v>
      </c>
      <c r="J189" s="31" t="s">
        <v>560</v>
      </c>
      <c r="K189" s="31" t="s">
        <v>1769</v>
      </c>
    </row>
    <row r="190" customFormat="false" ht="15" hidden="false" customHeight="false" outlineLevel="0" collapsed="false">
      <c r="A190" s="31" t="s">
        <v>1740</v>
      </c>
      <c r="B190" s="31" t="s">
        <v>1770</v>
      </c>
      <c r="C190" s="31" t="s">
        <v>563</v>
      </c>
      <c r="D190" s="32" t="n">
        <v>1850</v>
      </c>
      <c r="E190" s="32" t="n">
        <v>1850</v>
      </c>
      <c r="F190" s="31" t="s">
        <v>1000</v>
      </c>
      <c r="G190" s="31" t="s">
        <v>1771</v>
      </c>
      <c r="H190" s="31" t="s">
        <v>870</v>
      </c>
      <c r="I190" s="31" t="s">
        <v>1772</v>
      </c>
      <c r="J190" s="31" t="s">
        <v>565</v>
      </c>
      <c r="K190" s="31" t="s">
        <v>1773</v>
      </c>
    </row>
    <row r="191" customFormat="false" ht="15" hidden="false" customHeight="false" outlineLevel="0" collapsed="false">
      <c r="A191" s="31" t="s">
        <v>1740</v>
      </c>
      <c r="B191" s="31" t="s">
        <v>1774</v>
      </c>
      <c r="C191" s="31" t="s">
        <v>1775</v>
      </c>
      <c r="D191" s="32" t="n">
        <v>2299</v>
      </c>
      <c r="E191" s="32" t="n">
        <v>2999</v>
      </c>
      <c r="F191" s="31" t="s">
        <v>989</v>
      </c>
      <c r="G191" s="31" t="s">
        <v>1776</v>
      </c>
      <c r="H191" s="31" t="s">
        <v>776</v>
      </c>
      <c r="I191" s="31" t="s">
        <v>1777</v>
      </c>
      <c r="J191" s="31" t="s">
        <v>569</v>
      </c>
      <c r="K191" s="31" t="s">
        <v>1778</v>
      </c>
    </row>
    <row r="192" customFormat="false" ht="15" hidden="false" customHeight="false" outlineLevel="0" collapsed="false">
      <c r="A192" s="31" t="s">
        <v>1740</v>
      </c>
      <c r="B192" s="31" t="s">
        <v>1779</v>
      </c>
      <c r="C192" s="31" t="s">
        <v>1780</v>
      </c>
      <c r="D192" s="32" t="n">
        <v>1799</v>
      </c>
      <c r="E192" s="32" t="n">
        <v>2399</v>
      </c>
      <c r="F192" s="31" t="s">
        <v>989</v>
      </c>
      <c r="G192" s="31" t="s">
        <v>1781</v>
      </c>
      <c r="H192" s="31" t="s">
        <v>776</v>
      </c>
      <c r="I192" s="31" t="s">
        <v>1782</v>
      </c>
      <c r="J192" s="31" t="s">
        <v>574</v>
      </c>
      <c r="K192" s="31" t="s">
        <v>1783</v>
      </c>
    </row>
    <row r="193" customFormat="false" ht="15" hidden="false" customHeight="false" outlineLevel="0" collapsed="false">
      <c r="A193" s="31" t="s">
        <v>1740</v>
      </c>
      <c r="B193" s="31" t="s">
        <v>1784</v>
      </c>
      <c r="C193" s="31" t="s">
        <v>1785</v>
      </c>
      <c r="D193" s="32" t="n">
        <v>1199.99</v>
      </c>
      <c r="E193" s="32" t="n">
        <v>1449</v>
      </c>
      <c r="F193" s="31" t="s">
        <v>989</v>
      </c>
      <c r="G193" s="31" t="s">
        <v>1176</v>
      </c>
      <c r="H193" s="31" t="s">
        <v>776</v>
      </c>
      <c r="I193" s="31" t="s">
        <v>1786</v>
      </c>
      <c r="J193" s="31" t="s">
        <v>571</v>
      </c>
      <c r="K193" s="31" t="s">
        <v>1787</v>
      </c>
    </row>
    <row r="194" customFormat="false" ht="15" hidden="false" customHeight="false" outlineLevel="0" collapsed="false">
      <c r="A194" s="31" t="s">
        <v>1740</v>
      </c>
      <c r="B194" s="31" t="s">
        <v>1788</v>
      </c>
      <c r="C194" s="31" t="s">
        <v>1789</v>
      </c>
      <c r="D194" s="32" t="n">
        <v>1482</v>
      </c>
      <c r="E194" s="32" t="n">
        <v>1635</v>
      </c>
      <c r="F194" s="31" t="s">
        <v>989</v>
      </c>
      <c r="G194" s="31" t="s">
        <v>1790</v>
      </c>
      <c r="H194" s="31" t="s">
        <v>776</v>
      </c>
      <c r="I194" s="31" t="s">
        <v>1791</v>
      </c>
      <c r="J194" s="31" t="s">
        <v>1792</v>
      </c>
      <c r="K194" s="31" t="s">
        <v>1793</v>
      </c>
    </row>
    <row r="195" customFormat="false" ht="15" hidden="false" customHeight="false" outlineLevel="0" collapsed="false">
      <c r="A195" s="31" t="s">
        <v>1740</v>
      </c>
      <c r="B195" s="31" t="s">
        <v>1794</v>
      </c>
      <c r="C195" s="31" t="s">
        <v>1795</v>
      </c>
      <c r="D195" s="32" t="n">
        <v>78.65</v>
      </c>
      <c r="E195" s="32" t="n">
        <v>81.49</v>
      </c>
      <c r="F195" s="31" t="s">
        <v>1796</v>
      </c>
      <c r="G195" s="31" t="s">
        <v>1797</v>
      </c>
      <c r="H195" s="31" t="s">
        <v>870</v>
      </c>
      <c r="I195" s="31" t="s">
        <v>1798</v>
      </c>
      <c r="J195" s="31" t="s">
        <v>393</v>
      </c>
      <c r="K195" s="31" t="s">
        <v>1799</v>
      </c>
    </row>
    <row r="196" customFormat="false" ht="15" hidden="false" customHeight="false" outlineLevel="0" collapsed="false">
      <c r="A196" s="31" t="s">
        <v>1740</v>
      </c>
      <c r="B196" s="31" t="s">
        <v>1800</v>
      </c>
      <c r="C196" s="31" t="s">
        <v>1801</v>
      </c>
      <c r="D196" s="32" t="n">
        <v>469</v>
      </c>
      <c r="E196" s="32" t="n">
        <v>549</v>
      </c>
      <c r="F196" s="31" t="s">
        <v>989</v>
      </c>
      <c r="G196" s="31" t="s">
        <v>1754</v>
      </c>
      <c r="H196" s="31" t="s">
        <v>765</v>
      </c>
      <c r="I196" s="31" t="s">
        <v>1802</v>
      </c>
      <c r="J196" s="31" t="s">
        <v>567</v>
      </c>
      <c r="K196" s="31" t="s">
        <v>1803</v>
      </c>
    </row>
    <row r="197" customFormat="false" ht="15" hidden="false" customHeight="false" outlineLevel="0" collapsed="false">
      <c r="A197" s="31" t="s">
        <v>1740</v>
      </c>
      <c r="B197" s="31" t="s">
        <v>1804</v>
      </c>
      <c r="C197" s="31" t="s">
        <v>1805</v>
      </c>
      <c r="D197" s="32" t="n">
        <v>1169</v>
      </c>
      <c r="E197" s="32" t="n">
        <v>1379</v>
      </c>
      <c r="F197" s="31" t="s">
        <v>989</v>
      </c>
      <c r="G197" s="31" t="s">
        <v>1806</v>
      </c>
      <c r="H197" s="31" t="s">
        <v>776</v>
      </c>
      <c r="I197" s="31" t="s">
        <v>1807</v>
      </c>
      <c r="J197" s="31" t="s">
        <v>589</v>
      </c>
      <c r="K197" s="31" t="s">
        <v>1808</v>
      </c>
    </row>
    <row r="198" customFormat="false" ht="15" hidden="false" customHeight="false" outlineLevel="0" collapsed="false">
      <c r="A198" s="31" t="s">
        <v>1740</v>
      </c>
      <c r="B198" s="31" t="s">
        <v>1809</v>
      </c>
      <c r="C198" s="31" t="s">
        <v>1810</v>
      </c>
      <c r="D198" s="32" t="n">
        <v>1700</v>
      </c>
      <c r="E198" s="32" t="n">
        <v>2200</v>
      </c>
      <c r="F198" s="31" t="s">
        <v>989</v>
      </c>
      <c r="G198" s="31" t="s">
        <v>1771</v>
      </c>
      <c r="H198" s="31" t="s">
        <v>870</v>
      </c>
      <c r="I198" s="31" t="s">
        <v>1811</v>
      </c>
      <c r="J198" s="31" t="s">
        <v>1812</v>
      </c>
      <c r="K198" s="31" t="s">
        <v>1813</v>
      </c>
    </row>
    <row r="199" customFormat="false" ht="15" hidden="false" customHeight="false" outlineLevel="0" collapsed="false">
      <c r="A199" s="31" t="s">
        <v>1740</v>
      </c>
      <c r="B199" s="31" t="s">
        <v>1814</v>
      </c>
      <c r="C199" s="31" t="s">
        <v>1815</v>
      </c>
      <c r="D199" s="32" t="n">
        <v>257.51</v>
      </c>
      <c r="E199" s="32" t="n">
        <v>508.12</v>
      </c>
      <c r="F199" s="31" t="s">
        <v>1000</v>
      </c>
      <c r="G199" s="31" t="s">
        <v>1771</v>
      </c>
      <c r="H199" s="31" t="s">
        <v>776</v>
      </c>
      <c r="I199" s="31" t="s">
        <v>1816</v>
      </c>
      <c r="J199" s="31" t="s">
        <v>591</v>
      </c>
      <c r="K199" s="31" t="s">
        <v>1817</v>
      </c>
    </row>
    <row r="200" customFormat="false" ht="15" hidden="false" customHeight="false" outlineLevel="0" collapsed="false">
      <c r="A200" s="31" t="s">
        <v>1740</v>
      </c>
      <c r="B200" s="31" t="s">
        <v>1818</v>
      </c>
      <c r="C200" s="31" t="s">
        <v>1819</v>
      </c>
      <c r="D200" s="32" t="n">
        <v>1871.41</v>
      </c>
      <c r="E200" s="32" t="n">
        <v>4135.28</v>
      </c>
      <c r="F200" s="31" t="s">
        <v>1000</v>
      </c>
      <c r="G200" s="31" t="s">
        <v>1771</v>
      </c>
      <c r="H200" s="31" t="s">
        <v>776</v>
      </c>
      <c r="I200" s="31" t="s">
        <v>1820</v>
      </c>
      <c r="J200" s="31" t="s">
        <v>593</v>
      </c>
      <c r="K200" s="31" t="s">
        <v>1821</v>
      </c>
    </row>
    <row r="201" customFormat="false" ht="15" hidden="false" customHeight="false" outlineLevel="0" collapsed="false">
      <c r="A201" s="31" t="s">
        <v>1740</v>
      </c>
      <c r="B201" s="31" t="s">
        <v>1822</v>
      </c>
      <c r="C201" s="31" t="s">
        <v>1823</v>
      </c>
      <c r="D201" s="32" t="n">
        <v>92.8</v>
      </c>
      <c r="E201" s="32" t="n">
        <v>214.8</v>
      </c>
      <c r="F201" s="31" t="s">
        <v>989</v>
      </c>
      <c r="G201" s="31" t="s">
        <v>1771</v>
      </c>
      <c r="H201" s="31" t="s">
        <v>870</v>
      </c>
      <c r="I201" s="31" t="s">
        <v>1824</v>
      </c>
      <c r="J201" s="31" t="s">
        <v>584</v>
      </c>
      <c r="K201" s="31" t="s">
        <v>1825</v>
      </c>
    </row>
    <row r="202" customFormat="false" ht="15" hidden="false" customHeight="false" outlineLevel="0" collapsed="false">
      <c r="A202" s="31" t="s">
        <v>1740</v>
      </c>
      <c r="B202" s="31" t="s">
        <v>1826</v>
      </c>
      <c r="C202" s="31" t="s">
        <v>1827</v>
      </c>
      <c r="D202" s="32" t="n">
        <v>100</v>
      </c>
      <c r="E202" s="32" t="n">
        <v>900</v>
      </c>
      <c r="F202" s="31" t="s">
        <v>1828</v>
      </c>
      <c r="G202" s="31" t="s">
        <v>1771</v>
      </c>
      <c r="H202" s="31" t="s">
        <v>870</v>
      </c>
      <c r="I202" s="31" t="s">
        <v>1829</v>
      </c>
      <c r="J202" s="31" t="s">
        <v>586</v>
      </c>
      <c r="K202" s="31" t="s">
        <v>1830</v>
      </c>
    </row>
    <row r="203" customFormat="false" ht="15" hidden="false" customHeight="false" outlineLevel="0" collapsed="false">
      <c r="A203" s="31" t="s">
        <v>1740</v>
      </c>
      <c r="B203" s="31" t="s">
        <v>1831</v>
      </c>
      <c r="C203" s="31" t="s">
        <v>1832</v>
      </c>
      <c r="D203" s="32" t="n">
        <v>649.24</v>
      </c>
      <c r="E203" s="32" t="n">
        <v>766.31</v>
      </c>
      <c r="F203" s="31" t="s">
        <v>989</v>
      </c>
      <c r="G203" s="31" t="s">
        <v>1833</v>
      </c>
      <c r="H203" s="31" t="s">
        <v>776</v>
      </c>
      <c r="I203" s="31" t="s">
        <v>1834</v>
      </c>
      <c r="J203" s="31" t="s">
        <v>576</v>
      </c>
      <c r="K203" s="31" t="s">
        <v>1835</v>
      </c>
    </row>
    <row r="204" customFormat="false" ht="15" hidden="false" customHeight="false" outlineLevel="0" collapsed="false">
      <c r="A204" s="31" t="s">
        <v>1740</v>
      </c>
      <c r="B204" s="31" t="s">
        <v>1836</v>
      </c>
      <c r="C204" s="31" t="s">
        <v>1837</v>
      </c>
      <c r="D204" s="32" t="n">
        <v>429</v>
      </c>
      <c r="E204" s="32" t="n">
        <v>499.95</v>
      </c>
      <c r="F204" s="31" t="s">
        <v>989</v>
      </c>
      <c r="G204" s="31" t="s">
        <v>1838</v>
      </c>
      <c r="H204" s="31" t="s">
        <v>765</v>
      </c>
      <c r="I204" s="31" t="s">
        <v>1839</v>
      </c>
      <c r="J204" s="31" t="s">
        <v>578</v>
      </c>
      <c r="K204" s="31" t="s">
        <v>1840</v>
      </c>
    </row>
    <row r="205" customFormat="false" ht="15" hidden="false" customHeight="false" outlineLevel="0" collapsed="false">
      <c r="A205" s="31" t="s">
        <v>1740</v>
      </c>
      <c r="B205" s="31" t="s">
        <v>1841</v>
      </c>
      <c r="C205" s="31" t="s">
        <v>1842</v>
      </c>
      <c r="D205" s="32" t="n">
        <v>3136.03</v>
      </c>
      <c r="E205" s="32" t="n">
        <v>3975.13</v>
      </c>
      <c r="F205" s="31" t="s">
        <v>3</v>
      </c>
      <c r="G205" s="31" t="s">
        <v>1806</v>
      </c>
      <c r="H205" s="31" t="s">
        <v>776</v>
      </c>
      <c r="I205" s="31" t="s">
        <v>1843</v>
      </c>
      <c r="J205" s="31" t="s">
        <v>1844</v>
      </c>
      <c r="K205" s="31" t="s">
        <v>1845</v>
      </c>
    </row>
    <row r="206" customFormat="false" ht="15" hidden="false" customHeight="false" outlineLevel="0" collapsed="false">
      <c r="A206" s="31" t="s">
        <v>1740</v>
      </c>
      <c r="B206" s="31" t="s">
        <v>1846</v>
      </c>
      <c r="C206" s="31" t="s">
        <v>1847</v>
      </c>
      <c r="D206" s="32" t="n">
        <v>3891.32</v>
      </c>
      <c r="E206" s="32" t="n">
        <v>4708.5</v>
      </c>
      <c r="F206" s="31" t="s">
        <v>1848</v>
      </c>
      <c r="G206" s="31" t="s">
        <v>1849</v>
      </c>
      <c r="H206" s="31" t="s">
        <v>776</v>
      </c>
      <c r="I206" s="31" t="s">
        <v>1850</v>
      </c>
      <c r="J206" s="31" t="s">
        <v>581</v>
      </c>
      <c r="K206" s="31" t="s">
        <v>1851</v>
      </c>
    </row>
    <row r="207" customFormat="false" ht="15" hidden="false" customHeight="false" outlineLevel="0" collapsed="false">
      <c r="A207" s="31" t="s">
        <v>1740</v>
      </c>
      <c r="B207" s="31" t="s">
        <v>1852</v>
      </c>
      <c r="C207" s="31" t="s">
        <v>1853</v>
      </c>
      <c r="D207" s="32" t="n">
        <v>6313.99</v>
      </c>
      <c r="E207" s="32" t="n">
        <v>6795</v>
      </c>
      <c r="F207" s="31" t="s">
        <v>1854</v>
      </c>
      <c r="G207" s="31" t="s">
        <v>1771</v>
      </c>
      <c r="H207" s="31" t="s">
        <v>870</v>
      </c>
      <c r="I207" s="31" t="s">
        <v>1855</v>
      </c>
      <c r="J207" s="31" t="s">
        <v>1856</v>
      </c>
      <c r="K207" s="31" t="s">
        <v>1857</v>
      </c>
    </row>
    <row r="208" customFormat="false" ht="15" hidden="false" customHeight="false" outlineLevel="0" collapsed="false">
      <c r="A208" s="31" t="s">
        <v>1740</v>
      </c>
      <c r="B208" s="31" t="s">
        <v>1858</v>
      </c>
      <c r="C208" s="31" t="s">
        <v>1859</v>
      </c>
      <c r="D208" s="32" t="n">
        <v>1067000</v>
      </c>
      <c r="E208" s="32" t="n">
        <v>1067000</v>
      </c>
      <c r="F208" s="31" t="s">
        <v>1860</v>
      </c>
      <c r="G208" s="31" t="s">
        <v>1861</v>
      </c>
      <c r="H208" s="31" t="s">
        <v>776</v>
      </c>
      <c r="I208" s="31" t="s">
        <v>1862</v>
      </c>
      <c r="J208" s="31" t="s">
        <v>1863</v>
      </c>
      <c r="K208" s="31" t="s">
        <v>1864</v>
      </c>
    </row>
    <row r="209" customFormat="false" ht="15" hidden="false" customHeight="false" outlineLevel="0" collapsed="false">
      <c r="A209" s="31" t="s">
        <v>1740</v>
      </c>
      <c r="B209" s="31" t="s">
        <v>1865</v>
      </c>
      <c r="C209" s="31" t="s">
        <v>1866</v>
      </c>
      <c r="D209" s="32" t="n">
        <v>1165000</v>
      </c>
      <c r="E209" s="32" t="n">
        <v>1165000</v>
      </c>
      <c r="F209" s="31" t="s">
        <v>1860</v>
      </c>
      <c r="G209" s="31" t="s">
        <v>1861</v>
      </c>
      <c r="H209" s="31" t="s">
        <v>776</v>
      </c>
      <c r="I209" s="31" t="s">
        <v>1867</v>
      </c>
      <c r="J209" s="31" t="s">
        <v>1863</v>
      </c>
      <c r="K209" s="31" t="s">
        <v>1868</v>
      </c>
    </row>
    <row r="210" customFormat="false" ht="15" hidden="false" customHeight="false" outlineLevel="0" collapsed="false">
      <c r="A210" s="31" t="s">
        <v>1740</v>
      </c>
      <c r="B210" s="31" t="s">
        <v>1869</v>
      </c>
      <c r="C210" s="31" t="s">
        <v>1870</v>
      </c>
      <c r="D210" s="32" t="n">
        <v>1312000</v>
      </c>
      <c r="E210" s="32" t="n">
        <v>1312000</v>
      </c>
      <c r="F210" s="31" t="s">
        <v>1860</v>
      </c>
      <c r="G210" s="31" t="s">
        <v>1043</v>
      </c>
      <c r="H210" s="31" t="s">
        <v>776</v>
      </c>
      <c r="I210" s="31" t="s">
        <v>1867</v>
      </c>
      <c r="J210" s="31" t="s">
        <v>1863</v>
      </c>
      <c r="K210" s="31" t="s">
        <v>1871</v>
      </c>
    </row>
    <row r="211" customFormat="false" ht="15" hidden="false" customHeight="false" outlineLevel="0" collapsed="false">
      <c r="A211" s="31" t="s">
        <v>1740</v>
      </c>
      <c r="B211" s="31" t="s">
        <v>1872</v>
      </c>
      <c r="C211" s="31" t="s">
        <v>1873</v>
      </c>
      <c r="D211" s="32" t="n">
        <v>1975</v>
      </c>
      <c r="E211" s="32" t="n">
        <v>2425</v>
      </c>
      <c r="F211" s="31" t="s">
        <v>1874</v>
      </c>
      <c r="G211" s="31" t="s">
        <v>1875</v>
      </c>
      <c r="H211" s="31" t="s">
        <v>870</v>
      </c>
      <c r="I211" s="31" t="s">
        <v>1876</v>
      </c>
      <c r="J211" s="31" t="s">
        <v>322</v>
      </c>
      <c r="K211" s="31" t="s">
        <v>1877</v>
      </c>
    </row>
    <row r="212" customFormat="false" ht="15" hidden="false" customHeight="false" outlineLevel="0" collapsed="false">
      <c r="A212" s="31" t="s">
        <v>1740</v>
      </c>
      <c r="B212" s="31" t="s">
        <v>1878</v>
      </c>
      <c r="C212" s="31" t="s">
        <v>1879</v>
      </c>
      <c r="D212" s="32" t="n">
        <v>100</v>
      </c>
      <c r="E212" s="32" t="n">
        <v>200</v>
      </c>
      <c r="F212" s="31" t="s">
        <v>1880</v>
      </c>
      <c r="G212" s="31" t="s">
        <v>1881</v>
      </c>
      <c r="H212" s="31" t="s">
        <v>776</v>
      </c>
      <c r="I212" s="31" t="s">
        <v>1882</v>
      </c>
      <c r="J212" s="31" t="s">
        <v>327</v>
      </c>
      <c r="K212" s="31" t="s">
        <v>1883</v>
      </c>
    </row>
    <row r="213" customFormat="false" ht="15" hidden="false" customHeight="false" outlineLevel="0" collapsed="false">
      <c r="A213" s="31" t="s">
        <v>1740</v>
      </c>
      <c r="B213" s="31" t="s">
        <v>1884</v>
      </c>
      <c r="C213" s="31" t="s">
        <v>1885</v>
      </c>
      <c r="D213" s="32" t="n">
        <v>25000</v>
      </c>
      <c r="E213" s="32" t="n">
        <v>25000</v>
      </c>
      <c r="F213" s="31" t="s">
        <v>1886</v>
      </c>
      <c r="G213" s="31" t="s">
        <v>1887</v>
      </c>
      <c r="H213" s="31" t="s">
        <v>870</v>
      </c>
      <c r="I213" s="31" t="s">
        <v>1888</v>
      </c>
      <c r="J213" s="31" t="s">
        <v>331</v>
      </c>
      <c r="K213" s="31" t="s">
        <v>1889</v>
      </c>
    </row>
    <row r="214" customFormat="false" ht="15" hidden="false" customHeight="false" outlineLevel="0" collapsed="false">
      <c r="A214" s="31" t="s">
        <v>1740</v>
      </c>
      <c r="B214" s="31" t="s">
        <v>853</v>
      </c>
      <c r="C214" s="31" t="s">
        <v>1890</v>
      </c>
      <c r="D214" s="32" t="n">
        <v>5</v>
      </c>
      <c r="E214" s="32" t="n">
        <v>30</v>
      </c>
      <c r="F214" s="31" t="s">
        <v>862</v>
      </c>
      <c r="G214" s="31" t="s">
        <v>875</v>
      </c>
      <c r="H214" s="31" t="s">
        <v>765</v>
      </c>
      <c r="I214" s="31" t="s">
        <v>1891</v>
      </c>
      <c r="J214" s="31" t="s">
        <v>88</v>
      </c>
      <c r="K214" s="31" t="s">
        <v>1892</v>
      </c>
    </row>
    <row r="215" customFormat="false" ht="15" hidden="false" customHeight="false" outlineLevel="0" collapsed="false">
      <c r="A215" s="31" t="s">
        <v>1740</v>
      </c>
      <c r="B215" s="31" t="s">
        <v>1893</v>
      </c>
      <c r="C215" s="31" t="s">
        <v>1894</v>
      </c>
      <c r="D215" s="32" t="n">
        <v>19.25</v>
      </c>
      <c r="E215" s="32" t="n">
        <v>19.25</v>
      </c>
      <c r="F215" s="31" t="s">
        <v>37</v>
      </c>
      <c r="G215" s="31" t="s">
        <v>770</v>
      </c>
      <c r="H215" s="31" t="s">
        <v>765</v>
      </c>
      <c r="I215" s="31" t="s">
        <v>1895</v>
      </c>
      <c r="J215" s="31" t="s">
        <v>56</v>
      </c>
      <c r="K215" s="31" t="s">
        <v>1896</v>
      </c>
    </row>
    <row r="216" customFormat="false" ht="15" hidden="false" customHeight="false" outlineLevel="0" collapsed="false">
      <c r="A216" s="31" t="s">
        <v>1740</v>
      </c>
      <c r="B216" s="31" t="s">
        <v>883</v>
      </c>
      <c r="C216" s="31" t="s">
        <v>1897</v>
      </c>
      <c r="D216" s="32" t="n">
        <v>1</v>
      </c>
      <c r="E216" s="32" t="n">
        <v>1</v>
      </c>
      <c r="F216" s="31" t="s">
        <v>862</v>
      </c>
      <c r="G216" s="31" t="s">
        <v>1771</v>
      </c>
      <c r="H216" s="31" t="s">
        <v>776</v>
      </c>
      <c r="I216" s="31" t="s">
        <v>1898</v>
      </c>
      <c r="J216" s="31" t="s">
        <v>100</v>
      </c>
      <c r="K216" s="31" t="s">
        <v>1899</v>
      </c>
    </row>
    <row r="217" customFormat="false" ht="15" hidden="false" customHeight="false" outlineLevel="0" collapsed="false">
      <c r="A217" s="31" t="s">
        <v>1740</v>
      </c>
      <c r="B217" s="31" t="s">
        <v>1900</v>
      </c>
      <c r="C217" s="31" t="s">
        <v>1901</v>
      </c>
      <c r="D217" s="32" t="n">
        <v>0.05</v>
      </c>
      <c r="E217" s="32" t="n">
        <v>0.05</v>
      </c>
      <c r="F217" s="31" t="s">
        <v>862</v>
      </c>
      <c r="G217" s="31" t="s">
        <v>1771</v>
      </c>
      <c r="H217" s="31" t="s">
        <v>776</v>
      </c>
      <c r="I217" s="31" t="s">
        <v>1898</v>
      </c>
      <c r="J217" s="31" t="s">
        <v>100</v>
      </c>
      <c r="K217" s="31" t="s">
        <v>1902</v>
      </c>
    </row>
    <row r="218" customFormat="false" ht="15" hidden="false" customHeight="false" outlineLevel="0" collapsed="false">
      <c r="A218" s="31" t="s">
        <v>1740</v>
      </c>
      <c r="B218" s="31" t="s">
        <v>1903</v>
      </c>
      <c r="C218" s="31" t="s">
        <v>1904</v>
      </c>
      <c r="D218" s="32" t="n">
        <v>0.45</v>
      </c>
      <c r="E218" s="32" t="n">
        <v>1</v>
      </c>
      <c r="F218" s="31" t="s">
        <v>862</v>
      </c>
      <c r="G218" s="31" t="s">
        <v>1771</v>
      </c>
      <c r="H218" s="31" t="s">
        <v>870</v>
      </c>
      <c r="I218" s="31" t="s">
        <v>1898</v>
      </c>
      <c r="J218" s="31" t="s">
        <v>100</v>
      </c>
      <c r="K218" s="31" t="s">
        <v>1905</v>
      </c>
    </row>
    <row r="219" customFormat="false" ht="15" hidden="false" customHeight="false" outlineLevel="0" collapsed="false">
      <c r="A219" s="31" t="s">
        <v>1740</v>
      </c>
      <c r="B219" s="31" t="s">
        <v>898</v>
      </c>
      <c r="C219" s="31" t="s">
        <v>1906</v>
      </c>
      <c r="D219" s="32" t="n">
        <v>1</v>
      </c>
      <c r="E219" s="32" t="n">
        <v>10</v>
      </c>
      <c r="F219" s="31" t="s">
        <v>1907</v>
      </c>
      <c r="G219" s="31" t="s">
        <v>1908</v>
      </c>
      <c r="H219" s="31" t="s">
        <v>870</v>
      </c>
      <c r="I219" s="31" t="s">
        <v>1909</v>
      </c>
      <c r="J219" s="31" t="s">
        <v>1910</v>
      </c>
      <c r="K219" s="31" t="s">
        <v>1911</v>
      </c>
    </row>
    <row r="220" customFormat="false" ht="15" hidden="false" customHeight="false" outlineLevel="0" collapsed="false">
      <c r="A220" s="31" t="s">
        <v>1912</v>
      </c>
      <c r="B220" s="31" t="s">
        <v>1913</v>
      </c>
      <c r="C220" s="31" t="s">
        <v>1914</v>
      </c>
      <c r="D220" s="32" t="n">
        <v>84</v>
      </c>
      <c r="E220" s="32" t="n">
        <v>99</v>
      </c>
      <c r="F220" s="31" t="s">
        <v>1915</v>
      </c>
      <c r="G220" s="31" t="s">
        <v>1916</v>
      </c>
      <c r="H220" s="31" t="s">
        <v>776</v>
      </c>
      <c r="I220" s="31" t="s">
        <v>1917</v>
      </c>
      <c r="J220" s="31" t="s">
        <v>379</v>
      </c>
      <c r="K220" s="31" t="s">
        <v>1918</v>
      </c>
    </row>
    <row r="221" customFormat="false" ht="15" hidden="false" customHeight="false" outlineLevel="0" collapsed="false">
      <c r="A221" s="31" t="s">
        <v>1912</v>
      </c>
      <c r="B221" s="31" t="s">
        <v>1919</v>
      </c>
      <c r="C221" s="31" t="s">
        <v>1920</v>
      </c>
      <c r="D221" s="32" t="n">
        <v>60</v>
      </c>
      <c r="E221" s="32" t="n">
        <v>85</v>
      </c>
      <c r="F221" s="31" t="s">
        <v>1915</v>
      </c>
      <c r="G221" s="31" t="s">
        <v>1921</v>
      </c>
      <c r="H221" s="31" t="s">
        <v>776</v>
      </c>
      <c r="I221" s="31" t="s">
        <v>1922</v>
      </c>
      <c r="J221" s="31" t="s">
        <v>379</v>
      </c>
      <c r="K221" s="31" t="s">
        <v>1923</v>
      </c>
    </row>
    <row r="222" customFormat="false" ht="15" hidden="false" customHeight="false" outlineLevel="0" collapsed="false">
      <c r="A222" s="31" t="s">
        <v>1912</v>
      </c>
      <c r="B222" s="31" t="s">
        <v>1924</v>
      </c>
      <c r="C222" s="31" t="s">
        <v>1925</v>
      </c>
      <c r="D222" s="32" t="n">
        <v>5</v>
      </c>
      <c r="E222" s="32" t="n">
        <v>10</v>
      </c>
      <c r="F222" s="31" t="s">
        <v>1926</v>
      </c>
      <c r="G222" s="31" t="s">
        <v>1927</v>
      </c>
      <c r="H222" s="31" t="s">
        <v>776</v>
      </c>
      <c r="I222" s="31" t="s">
        <v>1928</v>
      </c>
      <c r="J222" s="31" t="s">
        <v>1929</v>
      </c>
      <c r="K222" s="31" t="s">
        <v>1930</v>
      </c>
    </row>
    <row r="223" customFormat="false" ht="15" hidden="false" customHeight="false" outlineLevel="0" collapsed="false">
      <c r="A223" s="31" t="s">
        <v>1912</v>
      </c>
      <c r="B223" s="31" t="s">
        <v>1931</v>
      </c>
      <c r="C223" s="31" t="s">
        <v>1932</v>
      </c>
      <c r="D223" s="32" t="n">
        <v>50</v>
      </c>
      <c r="E223" s="32" t="n">
        <v>99</v>
      </c>
      <c r="F223" s="31" t="s">
        <v>377</v>
      </c>
      <c r="G223" s="31" t="s">
        <v>1933</v>
      </c>
      <c r="H223" s="31" t="s">
        <v>776</v>
      </c>
      <c r="I223" s="31" t="s">
        <v>1934</v>
      </c>
      <c r="J223" s="31" t="s">
        <v>1935</v>
      </c>
      <c r="K223" s="31" t="s">
        <v>1936</v>
      </c>
    </row>
    <row r="224" customFormat="false" ht="15" hidden="false" customHeight="false" outlineLevel="0" collapsed="false">
      <c r="A224" s="31" t="s">
        <v>1912</v>
      </c>
      <c r="B224" s="31" t="s">
        <v>1937</v>
      </c>
      <c r="C224" s="31" t="s">
        <v>1938</v>
      </c>
      <c r="D224" s="32" t="n">
        <v>6313.26</v>
      </c>
      <c r="E224" s="32" t="n">
        <v>7853.05</v>
      </c>
      <c r="F224" s="31" t="s">
        <v>1939</v>
      </c>
      <c r="G224" s="31" t="s">
        <v>1940</v>
      </c>
      <c r="H224" s="31" t="s">
        <v>870</v>
      </c>
      <c r="I224" s="31" t="s">
        <v>1941</v>
      </c>
      <c r="J224" s="31" t="s">
        <v>1942</v>
      </c>
      <c r="K224" s="31" t="s">
        <v>1943</v>
      </c>
    </row>
    <row r="225" customFormat="false" ht="15" hidden="false" customHeight="false" outlineLevel="0" collapsed="false">
      <c r="A225" s="31" t="s">
        <v>1912</v>
      </c>
      <c r="B225" s="31" t="s">
        <v>1944</v>
      </c>
      <c r="C225" s="31" t="s">
        <v>1945</v>
      </c>
      <c r="D225" s="32" t="n">
        <v>3000</v>
      </c>
      <c r="E225" s="32" t="n">
        <v>15000</v>
      </c>
      <c r="F225" s="31" t="s">
        <v>3</v>
      </c>
      <c r="G225" s="31" t="s">
        <v>770</v>
      </c>
      <c r="H225" s="31" t="s">
        <v>776</v>
      </c>
      <c r="I225" s="31" t="s">
        <v>1946</v>
      </c>
      <c r="J225" s="31" t="s">
        <v>596</v>
      </c>
      <c r="K225" s="31" t="s">
        <v>1947</v>
      </c>
    </row>
    <row r="226" customFormat="false" ht="15" hidden="false" customHeight="false" outlineLevel="0" collapsed="false">
      <c r="A226" s="31" t="s">
        <v>1912</v>
      </c>
      <c r="B226" s="31" t="s">
        <v>1948</v>
      </c>
      <c r="C226" s="31" t="s">
        <v>1949</v>
      </c>
      <c r="D226" s="32" t="n">
        <v>2000000</v>
      </c>
      <c r="E226" s="31"/>
      <c r="F226" s="31" t="s">
        <v>1950</v>
      </c>
      <c r="G226" s="31" t="s">
        <v>875</v>
      </c>
      <c r="H226" s="31" t="s">
        <v>776</v>
      </c>
      <c r="I226" s="31" t="s">
        <v>1951</v>
      </c>
      <c r="J226" s="31" t="s">
        <v>1952</v>
      </c>
      <c r="K226" s="31" t="s">
        <v>1953</v>
      </c>
    </row>
    <row r="227" customFormat="false" ht="15" hidden="false" customHeight="false" outlineLevel="0" collapsed="false">
      <c r="A227" s="31" t="s">
        <v>1912</v>
      </c>
      <c r="B227" s="31" t="s">
        <v>1954</v>
      </c>
      <c r="C227" s="31" t="s">
        <v>1955</v>
      </c>
      <c r="D227" s="32" t="n">
        <v>550000</v>
      </c>
      <c r="E227" s="32" t="n">
        <v>550000</v>
      </c>
      <c r="F227" s="31" t="s">
        <v>1956</v>
      </c>
      <c r="G227" s="31" t="s">
        <v>875</v>
      </c>
      <c r="H227" s="31" t="s">
        <v>870</v>
      </c>
      <c r="I227" s="31" t="s">
        <v>1957</v>
      </c>
      <c r="J227" s="31" t="s">
        <v>1958</v>
      </c>
      <c r="K227" s="31" t="s">
        <v>1959</v>
      </c>
    </row>
    <row r="228" customFormat="false" ht="15" hidden="false" customHeight="false" outlineLevel="0" collapsed="false">
      <c r="A228" s="31" t="s">
        <v>1912</v>
      </c>
      <c r="B228" s="31" t="s">
        <v>1960</v>
      </c>
      <c r="C228" s="31" t="s">
        <v>1961</v>
      </c>
      <c r="D228" s="32" t="n">
        <v>828</v>
      </c>
      <c r="E228" s="32" t="n">
        <v>828</v>
      </c>
      <c r="F228" s="31" t="s">
        <v>1560</v>
      </c>
      <c r="G228" s="31" t="s">
        <v>1962</v>
      </c>
      <c r="H228" s="31" t="s">
        <v>776</v>
      </c>
      <c r="I228" s="31" t="s">
        <v>1963</v>
      </c>
      <c r="J228" s="31" t="s">
        <v>1964</v>
      </c>
      <c r="K228" s="31" t="s">
        <v>1965</v>
      </c>
    </row>
    <row r="229" customFormat="false" ht="15" hidden="false" customHeight="false" outlineLevel="0" collapsed="false">
      <c r="A229" s="31" t="s">
        <v>1912</v>
      </c>
      <c r="B229" s="31" t="s">
        <v>1966</v>
      </c>
      <c r="C229" s="31" t="s">
        <v>1967</v>
      </c>
      <c r="D229" s="32" t="n">
        <v>25000</v>
      </c>
      <c r="E229" s="31"/>
      <c r="F229" s="31" t="s">
        <v>1968</v>
      </c>
      <c r="G229" s="31" t="s">
        <v>875</v>
      </c>
      <c r="H229" s="31" t="s">
        <v>870</v>
      </c>
      <c r="I229" s="31" t="s">
        <v>1969</v>
      </c>
      <c r="J229" s="31" t="s">
        <v>1970</v>
      </c>
      <c r="K229" s="31" t="s">
        <v>1971</v>
      </c>
    </row>
    <row r="230" customFormat="false" ht="15" hidden="false" customHeight="false" outlineLevel="0" collapsed="false">
      <c r="A230" s="31" t="s">
        <v>1912</v>
      </c>
      <c r="B230" s="31" t="s">
        <v>1972</v>
      </c>
      <c r="C230" s="31" t="s">
        <v>1973</v>
      </c>
      <c r="D230" s="32" t="n">
        <v>25000</v>
      </c>
      <c r="E230" s="31"/>
      <c r="F230" s="31" t="s">
        <v>1974</v>
      </c>
      <c r="G230" s="31" t="s">
        <v>875</v>
      </c>
      <c r="H230" s="31" t="s">
        <v>870</v>
      </c>
      <c r="I230" s="31" t="s">
        <v>1969</v>
      </c>
      <c r="J230" s="31" t="s">
        <v>1970</v>
      </c>
      <c r="K230" s="31" t="s">
        <v>1975</v>
      </c>
    </row>
    <row r="231" customFormat="false" ht="15" hidden="false" customHeight="false" outlineLevel="0" collapsed="false">
      <c r="A231" s="31" t="s">
        <v>1912</v>
      </c>
      <c r="B231" s="31" t="s">
        <v>1976</v>
      </c>
      <c r="C231" s="31" t="s">
        <v>1977</v>
      </c>
      <c r="D231" s="32" t="n">
        <v>20000</v>
      </c>
      <c r="E231" s="32" t="n">
        <v>45000</v>
      </c>
      <c r="F231" s="31" t="s">
        <v>184</v>
      </c>
      <c r="G231" s="31" t="s">
        <v>1771</v>
      </c>
      <c r="H231" s="31" t="s">
        <v>870</v>
      </c>
      <c r="I231" s="31" t="s">
        <v>1978</v>
      </c>
      <c r="J231" s="31" t="s">
        <v>386</v>
      </c>
      <c r="K231" s="31" t="s">
        <v>1979</v>
      </c>
    </row>
    <row r="232" customFormat="false" ht="15" hidden="false" customHeight="false" outlineLevel="0" collapsed="false">
      <c r="A232" s="31" t="s">
        <v>1912</v>
      </c>
      <c r="B232" s="31" t="s">
        <v>1980</v>
      </c>
      <c r="C232" s="31" t="s">
        <v>1981</v>
      </c>
      <c r="D232" s="32" t="n">
        <v>1</v>
      </c>
      <c r="E232" s="32" t="n">
        <v>1</v>
      </c>
      <c r="F232" s="31" t="s">
        <v>1982</v>
      </c>
      <c r="G232" s="31" t="s">
        <v>1983</v>
      </c>
      <c r="H232" s="31" t="s">
        <v>776</v>
      </c>
      <c r="I232" s="31" t="s">
        <v>1984</v>
      </c>
      <c r="J232" s="31" t="s">
        <v>1985</v>
      </c>
      <c r="K232" s="31" t="s">
        <v>1986</v>
      </c>
    </row>
    <row r="233" customFormat="false" ht="15" hidden="false" customHeight="false" outlineLevel="0" collapsed="false">
      <c r="A233" s="31" t="s">
        <v>1912</v>
      </c>
      <c r="B233" s="31" t="s">
        <v>1987</v>
      </c>
      <c r="C233" s="31" t="s">
        <v>1988</v>
      </c>
      <c r="D233" s="32" t="n">
        <v>1</v>
      </c>
      <c r="E233" s="32" t="n">
        <v>2</v>
      </c>
      <c r="F233" s="31" t="s">
        <v>1982</v>
      </c>
      <c r="G233" s="31" t="s">
        <v>875</v>
      </c>
      <c r="H233" s="31" t="s">
        <v>870</v>
      </c>
      <c r="I233" s="31" t="s">
        <v>1989</v>
      </c>
      <c r="J233" s="31" t="s">
        <v>1990</v>
      </c>
      <c r="K233" s="31" t="s">
        <v>1991</v>
      </c>
    </row>
    <row r="234" customFormat="false" ht="15" hidden="false" customHeight="false" outlineLevel="0" collapsed="false">
      <c r="A234" s="31" t="s">
        <v>1912</v>
      </c>
      <c r="B234" s="31" t="s">
        <v>1992</v>
      </c>
      <c r="C234" s="31" t="s">
        <v>1993</v>
      </c>
      <c r="D234" s="32" t="n">
        <v>1</v>
      </c>
      <c r="E234" s="32" t="n">
        <v>1.8</v>
      </c>
      <c r="F234" s="31" t="s">
        <v>1982</v>
      </c>
      <c r="G234" s="31" t="s">
        <v>875</v>
      </c>
      <c r="H234" s="31" t="s">
        <v>870</v>
      </c>
      <c r="I234" s="31" t="s">
        <v>1994</v>
      </c>
      <c r="J234" s="31" t="s">
        <v>1995</v>
      </c>
      <c r="K234" s="31" t="s">
        <v>1996</v>
      </c>
    </row>
    <row r="235" customFormat="false" ht="15" hidden="false" customHeight="false" outlineLevel="0" collapsed="false">
      <c r="A235" s="31" t="s">
        <v>1912</v>
      </c>
      <c r="B235" s="31" t="s">
        <v>1997</v>
      </c>
      <c r="C235" s="31" t="s">
        <v>1998</v>
      </c>
      <c r="D235" s="32" t="n">
        <v>1</v>
      </c>
      <c r="E235" s="32" t="n">
        <v>1.5</v>
      </c>
      <c r="F235" s="31" t="s">
        <v>1999</v>
      </c>
      <c r="G235" s="31" t="s">
        <v>1043</v>
      </c>
      <c r="H235" s="31" t="s">
        <v>776</v>
      </c>
      <c r="I235" s="31" t="s">
        <v>2000</v>
      </c>
      <c r="J235" s="31" t="s">
        <v>2001</v>
      </c>
      <c r="K235" s="31" t="s">
        <v>2002</v>
      </c>
    </row>
    <row r="236" customFormat="false" ht="15" hidden="false" customHeight="false" outlineLevel="0" collapsed="false">
      <c r="A236" s="31" t="s">
        <v>1912</v>
      </c>
      <c r="B236" s="31" t="s">
        <v>2003</v>
      </c>
      <c r="C236" s="31" t="s">
        <v>2004</v>
      </c>
      <c r="D236" s="32" t="n">
        <v>1.5</v>
      </c>
      <c r="E236" s="32" t="n">
        <v>2</v>
      </c>
      <c r="F236" s="31" t="s">
        <v>2005</v>
      </c>
      <c r="G236" s="31" t="s">
        <v>2006</v>
      </c>
      <c r="H236" s="31" t="s">
        <v>870</v>
      </c>
      <c r="I236" s="31" t="s">
        <v>2007</v>
      </c>
      <c r="J236" s="31" t="s">
        <v>2008</v>
      </c>
      <c r="K236" s="31" t="s">
        <v>2009</v>
      </c>
    </row>
    <row r="237" customFormat="false" ht="15" hidden="false" customHeight="false" outlineLevel="0" collapsed="false">
      <c r="A237" s="31" t="s">
        <v>1912</v>
      </c>
      <c r="B237" s="31" t="s">
        <v>2010</v>
      </c>
      <c r="C237" s="31" t="s">
        <v>2011</v>
      </c>
      <c r="D237" s="32" t="n">
        <v>0.2</v>
      </c>
      <c r="E237" s="32" t="n">
        <v>0.2</v>
      </c>
      <c r="F237" s="31" t="s">
        <v>2012</v>
      </c>
      <c r="G237" s="31" t="s">
        <v>2013</v>
      </c>
      <c r="H237" s="31" t="s">
        <v>776</v>
      </c>
      <c r="I237" s="31" t="s">
        <v>2014</v>
      </c>
      <c r="J237" s="31" t="s">
        <v>2015</v>
      </c>
      <c r="K237" s="31" t="s">
        <v>2016</v>
      </c>
    </row>
    <row r="238" customFormat="false" ht="15" hidden="false" customHeight="false" outlineLevel="0" collapsed="false">
      <c r="A238" s="31" t="s">
        <v>1912</v>
      </c>
      <c r="B238" s="31" t="s">
        <v>2017</v>
      </c>
      <c r="C238" s="31" t="s">
        <v>2018</v>
      </c>
      <c r="D238" s="32" t="n">
        <v>2.5</v>
      </c>
      <c r="E238" s="32" t="n">
        <v>3.5</v>
      </c>
      <c r="F238" s="31" t="s">
        <v>2019</v>
      </c>
      <c r="G238" s="31" t="s">
        <v>1771</v>
      </c>
      <c r="H238" s="31" t="s">
        <v>870</v>
      </c>
      <c r="I238" s="31" t="s">
        <v>2020</v>
      </c>
      <c r="J238" s="31" t="s">
        <v>2021</v>
      </c>
      <c r="K238" s="31" t="s">
        <v>2022</v>
      </c>
    </row>
    <row r="239" customFormat="false" ht="15" hidden="false" customHeight="false" outlineLevel="0" collapsed="false">
      <c r="A239" s="31" t="s">
        <v>1912</v>
      </c>
      <c r="B239" s="31" t="s">
        <v>2023</v>
      </c>
      <c r="C239" s="31" t="s">
        <v>2024</v>
      </c>
      <c r="D239" s="32" t="n">
        <v>5</v>
      </c>
      <c r="E239" s="32" t="n">
        <v>20</v>
      </c>
      <c r="F239" s="31" t="s">
        <v>2025</v>
      </c>
      <c r="G239" s="31" t="s">
        <v>875</v>
      </c>
      <c r="H239" s="31" t="s">
        <v>870</v>
      </c>
      <c r="I239" s="31" t="s">
        <v>2026</v>
      </c>
      <c r="J239" s="31" t="s">
        <v>2027</v>
      </c>
      <c r="K239" s="31" t="s">
        <v>2028</v>
      </c>
    </row>
    <row r="240" customFormat="false" ht="15" hidden="false" customHeight="false" outlineLevel="0" collapsed="false">
      <c r="A240" s="31" t="s">
        <v>1912</v>
      </c>
      <c r="B240" s="31" t="s">
        <v>2029</v>
      </c>
      <c r="C240" s="31" t="s">
        <v>2030</v>
      </c>
      <c r="D240" s="32" t="n">
        <v>12</v>
      </c>
      <c r="E240" s="32" t="n">
        <v>22</v>
      </c>
      <c r="F240" s="31" t="s">
        <v>2025</v>
      </c>
      <c r="G240" s="31" t="s">
        <v>2031</v>
      </c>
      <c r="H240" s="31" t="s">
        <v>870</v>
      </c>
      <c r="I240" s="31" t="s">
        <v>2032</v>
      </c>
      <c r="J240" s="31" t="s">
        <v>2033</v>
      </c>
      <c r="K240" s="31" t="s">
        <v>2034</v>
      </c>
    </row>
    <row r="241" customFormat="false" ht="15" hidden="false" customHeight="false" outlineLevel="0" collapsed="false">
      <c r="A241" s="31" t="s">
        <v>1912</v>
      </c>
      <c r="B241" s="31" t="s">
        <v>2035</v>
      </c>
      <c r="C241" s="31" t="s">
        <v>2036</v>
      </c>
      <c r="D241" s="32" t="n">
        <v>12</v>
      </c>
      <c r="E241" s="32" t="n">
        <v>22</v>
      </c>
      <c r="F241" s="31" t="s">
        <v>2037</v>
      </c>
      <c r="G241" s="31" t="s">
        <v>875</v>
      </c>
      <c r="H241" s="31" t="s">
        <v>870</v>
      </c>
      <c r="I241" s="31" t="s">
        <v>2038</v>
      </c>
      <c r="J241" s="31" t="s">
        <v>457</v>
      </c>
      <c r="K241" s="31" t="s">
        <v>2039</v>
      </c>
    </row>
    <row r="242" customFormat="false" ht="15" hidden="false" customHeight="false" outlineLevel="0" collapsed="false">
      <c r="A242" s="31" t="s">
        <v>1912</v>
      </c>
      <c r="B242" s="31" t="s">
        <v>2040</v>
      </c>
      <c r="C242" s="31" t="s">
        <v>2041</v>
      </c>
      <c r="D242" s="32" t="n">
        <v>2019</v>
      </c>
      <c r="E242" s="32" t="n">
        <v>2019</v>
      </c>
      <c r="F242" s="31" t="s">
        <v>2042</v>
      </c>
      <c r="G242" s="31" t="s">
        <v>2043</v>
      </c>
      <c r="H242" s="31" t="s">
        <v>765</v>
      </c>
      <c r="I242" s="31" t="s">
        <v>2044</v>
      </c>
      <c r="J242" s="31" t="s">
        <v>2045</v>
      </c>
      <c r="K242" s="31" t="s">
        <v>2046</v>
      </c>
    </row>
    <row r="243" customFormat="false" ht="15" hidden="false" customHeight="false" outlineLevel="0" collapsed="false">
      <c r="A243" s="31" t="s">
        <v>1912</v>
      </c>
      <c r="B243" s="31" t="s">
        <v>2047</v>
      </c>
      <c r="C243" s="31" t="s">
        <v>2048</v>
      </c>
      <c r="D243" s="32" t="n">
        <v>506</v>
      </c>
      <c r="E243" s="32" t="n">
        <v>506</v>
      </c>
      <c r="F243" s="31" t="s">
        <v>2049</v>
      </c>
      <c r="G243" s="31" t="s">
        <v>1043</v>
      </c>
      <c r="H243" s="31" t="s">
        <v>776</v>
      </c>
      <c r="I243" s="31" t="s">
        <v>2050</v>
      </c>
      <c r="J243" s="31" t="s">
        <v>2051</v>
      </c>
      <c r="K243" s="31" t="s">
        <v>2052</v>
      </c>
    </row>
    <row r="244" customFormat="false" ht="15" hidden="false" customHeight="false" outlineLevel="0" collapsed="false">
      <c r="A244" s="31" t="s">
        <v>1912</v>
      </c>
      <c r="B244" s="31" t="s">
        <v>2053</v>
      </c>
      <c r="C244" s="31" t="s">
        <v>2054</v>
      </c>
      <c r="D244" s="32" t="n">
        <v>18500</v>
      </c>
      <c r="E244" s="32" t="n">
        <v>18500</v>
      </c>
      <c r="F244" s="31" t="s">
        <v>2</v>
      </c>
      <c r="G244" s="31" t="s">
        <v>875</v>
      </c>
      <c r="H244" s="31" t="s">
        <v>870</v>
      </c>
      <c r="I244" s="31" t="s">
        <v>2055</v>
      </c>
      <c r="J244" s="31" t="s">
        <v>448</v>
      </c>
      <c r="K244" s="31" t="s">
        <v>2056</v>
      </c>
    </row>
    <row r="245" customFormat="false" ht="15" hidden="false" customHeight="false" outlineLevel="0" collapsed="false">
      <c r="A245" s="31" t="s">
        <v>1912</v>
      </c>
      <c r="B245" s="31" t="s">
        <v>2057</v>
      </c>
      <c r="C245" s="31" t="s">
        <v>2058</v>
      </c>
      <c r="D245" s="32" t="n">
        <v>27</v>
      </c>
      <c r="E245" s="32" t="n">
        <v>27</v>
      </c>
      <c r="F245" s="31" t="s">
        <v>2059</v>
      </c>
      <c r="G245" s="31" t="s">
        <v>2060</v>
      </c>
      <c r="H245" s="31" t="s">
        <v>776</v>
      </c>
      <c r="I245" s="31" t="s">
        <v>2061</v>
      </c>
      <c r="J245" s="31" t="s">
        <v>2062</v>
      </c>
      <c r="K245" s="31" t="s">
        <v>2063</v>
      </c>
    </row>
    <row r="246" customFormat="false" ht="15" hidden="false" customHeight="false" outlineLevel="0" collapsed="false">
      <c r="A246" s="31" t="s">
        <v>1912</v>
      </c>
      <c r="B246" s="31" t="s">
        <v>2064</v>
      </c>
      <c r="C246" s="31" t="s">
        <v>2065</v>
      </c>
      <c r="D246" s="32" t="n">
        <v>5000</v>
      </c>
      <c r="E246" s="32" t="n">
        <v>8000</v>
      </c>
      <c r="F246" s="31" t="s">
        <v>2066</v>
      </c>
      <c r="G246" s="31" t="s">
        <v>2067</v>
      </c>
      <c r="H246" s="31" t="s">
        <v>870</v>
      </c>
      <c r="I246" s="31" t="s">
        <v>2068</v>
      </c>
      <c r="J246" s="31" t="s">
        <v>438</v>
      </c>
      <c r="K246" s="31" t="s">
        <v>2069</v>
      </c>
    </row>
    <row r="247" customFormat="false" ht="15" hidden="false" customHeight="false" outlineLevel="0" collapsed="false">
      <c r="A247" s="31" t="s">
        <v>1912</v>
      </c>
      <c r="B247" s="31" t="s">
        <v>2070</v>
      </c>
      <c r="C247" s="31" t="s">
        <v>2071</v>
      </c>
      <c r="D247" s="32" t="n">
        <v>10000</v>
      </c>
      <c r="E247" s="32" t="n">
        <v>15000</v>
      </c>
      <c r="F247" s="31" t="s">
        <v>2066</v>
      </c>
      <c r="G247" s="31" t="s">
        <v>2067</v>
      </c>
      <c r="H247" s="31" t="s">
        <v>870</v>
      </c>
      <c r="I247" s="31" t="s">
        <v>2068</v>
      </c>
      <c r="J247" s="31" t="s">
        <v>438</v>
      </c>
      <c r="K247" s="31" t="s">
        <v>2072</v>
      </c>
    </row>
    <row r="248" customFormat="false" ht="15" hidden="false" customHeight="false" outlineLevel="0" collapsed="false">
      <c r="A248" s="31" t="s">
        <v>1912</v>
      </c>
      <c r="B248" s="31" t="s">
        <v>2073</v>
      </c>
      <c r="C248" s="31" t="s">
        <v>2074</v>
      </c>
      <c r="D248" s="32" t="n">
        <v>2034300</v>
      </c>
      <c r="E248" s="32" t="n">
        <v>2034300</v>
      </c>
      <c r="F248" s="31" t="s">
        <v>2075</v>
      </c>
      <c r="G248" s="31" t="s">
        <v>770</v>
      </c>
      <c r="H248" s="31" t="s">
        <v>870</v>
      </c>
      <c r="I248" s="31" t="s">
        <v>2076</v>
      </c>
      <c r="J248" s="31" t="s">
        <v>2077</v>
      </c>
      <c r="K248" s="31" t="s">
        <v>2078</v>
      </c>
    </row>
    <row r="249" customFormat="false" ht="15" hidden="false" customHeight="false" outlineLevel="0" collapsed="false">
      <c r="A249" s="31" t="s">
        <v>1912</v>
      </c>
      <c r="B249" s="31" t="s">
        <v>2079</v>
      </c>
      <c r="C249" s="31" t="s">
        <v>2080</v>
      </c>
      <c r="D249" s="32" t="n">
        <v>100000</v>
      </c>
      <c r="E249" s="32" t="n">
        <v>250000</v>
      </c>
      <c r="F249" s="31" t="s">
        <v>184</v>
      </c>
      <c r="G249" s="31" t="s">
        <v>770</v>
      </c>
      <c r="H249" s="31" t="s">
        <v>870</v>
      </c>
      <c r="I249" s="31" t="s">
        <v>2081</v>
      </c>
      <c r="J249" s="31" t="s">
        <v>2082</v>
      </c>
      <c r="K249" s="31" t="s">
        <v>2083</v>
      </c>
    </row>
    <row r="250" customFormat="false" ht="15" hidden="false" customHeight="false" outlineLevel="0" collapsed="false">
      <c r="A250" s="31" t="s">
        <v>1912</v>
      </c>
      <c r="B250" s="31" t="s">
        <v>2084</v>
      </c>
      <c r="C250" s="31" t="s">
        <v>2085</v>
      </c>
      <c r="D250" s="32" t="n">
        <v>0.8</v>
      </c>
      <c r="E250" s="32" t="n">
        <v>2.4</v>
      </c>
      <c r="F250" s="31" t="s">
        <v>2086</v>
      </c>
      <c r="G250" s="31" t="s">
        <v>875</v>
      </c>
      <c r="H250" s="31" t="s">
        <v>870</v>
      </c>
      <c r="I250" s="31" t="s">
        <v>2087</v>
      </c>
      <c r="J250" s="31" t="s">
        <v>2088</v>
      </c>
      <c r="K250" s="31" t="s">
        <v>2089</v>
      </c>
    </row>
    <row r="251" customFormat="false" ht="15" hidden="false" customHeight="false" outlineLevel="0" collapsed="false">
      <c r="A251" s="31" t="s">
        <v>1912</v>
      </c>
      <c r="B251" s="31" t="s">
        <v>2090</v>
      </c>
      <c r="C251" s="31" t="s">
        <v>2091</v>
      </c>
      <c r="D251" s="32" t="n">
        <v>40</v>
      </c>
      <c r="E251" s="32" t="n">
        <v>95</v>
      </c>
      <c r="F251" s="31" t="s">
        <v>3</v>
      </c>
      <c r="G251" s="31" t="s">
        <v>770</v>
      </c>
      <c r="H251" s="31" t="s">
        <v>870</v>
      </c>
      <c r="I251" s="31" t="s">
        <v>2092</v>
      </c>
      <c r="J251" s="31" t="s">
        <v>2093</v>
      </c>
      <c r="K251" s="31" t="s">
        <v>2094</v>
      </c>
    </row>
    <row r="252" customFormat="false" ht="15" hidden="false" customHeight="false" outlineLevel="0" collapsed="false">
      <c r="A252" s="31" t="s">
        <v>1912</v>
      </c>
      <c r="B252" s="31" t="s">
        <v>2095</v>
      </c>
      <c r="C252" s="31" t="s">
        <v>2096</v>
      </c>
      <c r="D252" s="32" t="n">
        <v>45000</v>
      </c>
      <c r="E252" s="32" t="n">
        <v>80000</v>
      </c>
      <c r="F252" s="31" t="s">
        <v>2097</v>
      </c>
      <c r="G252" s="31" t="s">
        <v>2098</v>
      </c>
      <c r="H252" s="31" t="s">
        <v>870</v>
      </c>
      <c r="I252" s="31" t="s">
        <v>2099</v>
      </c>
      <c r="J252" s="31" t="s">
        <v>2100</v>
      </c>
      <c r="K252" s="31" t="s">
        <v>2101</v>
      </c>
    </row>
    <row r="253" customFormat="false" ht="15" hidden="false" customHeight="false" outlineLevel="0" collapsed="false">
      <c r="A253" s="31" t="s">
        <v>1912</v>
      </c>
      <c r="B253" s="31" t="s">
        <v>2102</v>
      </c>
      <c r="C253" s="31" t="s">
        <v>2103</v>
      </c>
      <c r="D253" s="32" t="n">
        <v>75630000</v>
      </c>
      <c r="E253" s="32" t="n">
        <v>75630000</v>
      </c>
      <c r="F253" s="31" t="s">
        <v>2104</v>
      </c>
      <c r="G253" s="31" t="s">
        <v>2105</v>
      </c>
      <c r="H253" s="31" t="s">
        <v>776</v>
      </c>
      <c r="I253" s="31" t="s">
        <v>2106</v>
      </c>
      <c r="J253" s="31" t="s">
        <v>2107</v>
      </c>
      <c r="K253" s="31" t="s">
        <v>2108</v>
      </c>
    </row>
    <row r="254" customFormat="false" ht="15" hidden="false" customHeight="false" outlineLevel="0" collapsed="false">
      <c r="A254" s="31" t="s">
        <v>1912</v>
      </c>
      <c r="B254" s="31" t="s">
        <v>2109</v>
      </c>
      <c r="C254" s="31" t="s">
        <v>2110</v>
      </c>
      <c r="D254" s="32" t="n">
        <v>41875</v>
      </c>
      <c r="E254" s="32" t="n">
        <v>60000</v>
      </c>
      <c r="F254" s="31" t="s">
        <v>184</v>
      </c>
      <c r="G254" s="31" t="s">
        <v>2111</v>
      </c>
      <c r="H254" s="31" t="s">
        <v>870</v>
      </c>
      <c r="I254" s="31" t="s">
        <v>2112</v>
      </c>
      <c r="J254" s="31" t="s">
        <v>2113</v>
      </c>
      <c r="K254" s="31" t="s">
        <v>2114</v>
      </c>
    </row>
    <row r="255" customFormat="false" ht="15" hidden="false" customHeight="false" outlineLevel="0" collapsed="false">
      <c r="A255" s="31" t="s">
        <v>2115</v>
      </c>
      <c r="B255" s="31" t="s">
        <v>2116</v>
      </c>
      <c r="C255" s="31" t="s">
        <v>2117</v>
      </c>
      <c r="D255" s="32" t="n">
        <v>12789300</v>
      </c>
      <c r="E255" s="32" t="n">
        <v>20574100</v>
      </c>
      <c r="F255" s="31" t="s">
        <v>2</v>
      </c>
      <c r="G255" s="31" t="s">
        <v>875</v>
      </c>
      <c r="H255" s="31" t="s">
        <v>776</v>
      </c>
      <c r="I255" s="31" t="s">
        <v>2118</v>
      </c>
      <c r="J255" s="31" t="s">
        <v>343</v>
      </c>
      <c r="K255" s="31" t="s">
        <v>2119</v>
      </c>
    </row>
    <row r="256" customFormat="false" ht="15" hidden="false" customHeight="false" outlineLevel="0" collapsed="false">
      <c r="A256" s="31" t="s">
        <v>2115</v>
      </c>
      <c r="B256" s="31" t="s">
        <v>2120</v>
      </c>
      <c r="C256" s="31" t="s">
        <v>2121</v>
      </c>
      <c r="D256" s="32" t="n">
        <v>80000</v>
      </c>
      <c r="E256" s="32" t="n">
        <v>300000</v>
      </c>
      <c r="F256" s="31" t="s">
        <v>184</v>
      </c>
      <c r="G256" s="31" t="s">
        <v>875</v>
      </c>
      <c r="H256" s="31" t="s">
        <v>870</v>
      </c>
      <c r="I256" s="31" t="s">
        <v>2122</v>
      </c>
      <c r="J256" s="31" t="s">
        <v>254</v>
      </c>
      <c r="K256" s="31" t="s">
        <v>2123</v>
      </c>
    </row>
    <row r="257" customFormat="false" ht="15" hidden="false" customHeight="false" outlineLevel="0" collapsed="false">
      <c r="A257" s="31" t="s">
        <v>2115</v>
      </c>
      <c r="B257" s="31" t="s">
        <v>2124</v>
      </c>
      <c r="C257" s="31" t="s">
        <v>2125</v>
      </c>
      <c r="D257" s="32" t="n">
        <v>2875</v>
      </c>
      <c r="E257" s="32" t="n">
        <v>2875</v>
      </c>
      <c r="F257" s="31" t="s">
        <v>2126</v>
      </c>
      <c r="G257" s="31" t="s">
        <v>2127</v>
      </c>
      <c r="H257" s="31" t="s">
        <v>870</v>
      </c>
      <c r="I257" s="31" t="s">
        <v>2128</v>
      </c>
      <c r="J257" s="31" t="s">
        <v>322</v>
      </c>
      <c r="K257" s="31" t="s">
        <v>2129</v>
      </c>
    </row>
    <row r="258" customFormat="false" ht="15" hidden="false" customHeight="false" outlineLevel="0" collapsed="false">
      <c r="A258" s="31" t="s">
        <v>2115</v>
      </c>
      <c r="B258" s="31" t="s">
        <v>2130</v>
      </c>
      <c r="C258" s="31" t="s">
        <v>2131</v>
      </c>
      <c r="D258" s="32" t="n">
        <v>85</v>
      </c>
      <c r="E258" s="32" t="n">
        <v>85</v>
      </c>
      <c r="F258" s="31" t="s">
        <v>2132</v>
      </c>
      <c r="G258" s="31" t="s">
        <v>2133</v>
      </c>
      <c r="H258" s="31" t="s">
        <v>776</v>
      </c>
      <c r="I258" s="31" t="s">
        <v>2134</v>
      </c>
      <c r="J258" s="31" t="s">
        <v>327</v>
      </c>
      <c r="K258" s="31" t="s">
        <v>2135</v>
      </c>
    </row>
    <row r="259" customFormat="false" ht="15" hidden="false" customHeight="false" outlineLevel="0" collapsed="false">
      <c r="A259" s="31" t="s">
        <v>2115</v>
      </c>
      <c r="B259" s="31" t="s">
        <v>2136</v>
      </c>
      <c r="C259" s="31" t="s">
        <v>2137</v>
      </c>
      <c r="D259" s="32" t="n">
        <v>15000</v>
      </c>
      <c r="E259" s="32" t="n">
        <v>25000</v>
      </c>
      <c r="F259" s="31" t="s">
        <v>2138</v>
      </c>
      <c r="G259" s="31" t="s">
        <v>875</v>
      </c>
      <c r="H259" s="31" t="s">
        <v>870</v>
      </c>
      <c r="I259" s="31" t="s">
        <v>2139</v>
      </c>
      <c r="J259" s="31" t="s">
        <v>438</v>
      </c>
      <c r="K259" s="31" t="s">
        <v>2140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2026-10-14T09:41:13Z</dcterms:created>
  <dc:creator>openpyxl</dc:creator>
  <dc:description/>
  <dc:language>en-US</dc:language>
  <cp:lastModifiedBy/>
  <dcterms:modified xsi:type="dcterms:W3CDTF">2026-10-14T09:41:14Z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